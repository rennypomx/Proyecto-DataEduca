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ny\Downloads\"/>
    </mc:Choice>
  </mc:AlternateContent>
  <xr:revisionPtr revIDLastSave="0" documentId="13_ncr:1_{8E19AB0C-F0EF-485E-A912-ADAE0E020CA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RIMESTRE1" sheetId="1" r:id="rId1"/>
    <sheet name="TRIMESTRE2" sheetId="4" r:id="rId2"/>
    <sheet name="TRIMESTRE3" sheetId="5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5" l="1"/>
  <c r="I24" i="5"/>
  <c r="G24" i="5"/>
  <c r="E24" i="5"/>
  <c r="C24" i="5"/>
  <c r="I23" i="5"/>
  <c r="G23" i="5"/>
  <c r="J23" i="5" s="1"/>
  <c r="E23" i="5"/>
  <c r="C23" i="5"/>
  <c r="I22" i="5"/>
  <c r="G22" i="5"/>
  <c r="E22" i="5"/>
  <c r="C22" i="5"/>
  <c r="J22" i="5" s="1"/>
  <c r="J21" i="5"/>
  <c r="I21" i="5"/>
  <c r="G21" i="5"/>
  <c r="E21" i="5"/>
  <c r="C21" i="5"/>
  <c r="I20" i="5"/>
  <c r="G20" i="5"/>
  <c r="E20" i="5"/>
  <c r="C20" i="5"/>
  <c r="J20" i="5" s="1"/>
  <c r="I19" i="5"/>
  <c r="G19" i="5"/>
  <c r="E19" i="5"/>
  <c r="C19" i="5"/>
  <c r="I18" i="5"/>
  <c r="J18" i="5" s="1"/>
  <c r="G18" i="5"/>
  <c r="E18" i="5"/>
  <c r="C18" i="5"/>
  <c r="I17" i="5"/>
  <c r="G17" i="5"/>
  <c r="E17" i="5"/>
  <c r="C17" i="5"/>
  <c r="J17" i="5" s="1"/>
  <c r="I16" i="5"/>
  <c r="G16" i="5"/>
  <c r="E16" i="5"/>
  <c r="C16" i="5"/>
  <c r="J16" i="5" s="1"/>
  <c r="I15" i="5"/>
  <c r="G15" i="5"/>
  <c r="J15" i="5" s="1"/>
  <c r="E15" i="5"/>
  <c r="C15" i="5"/>
  <c r="I14" i="5"/>
  <c r="G14" i="5"/>
  <c r="E14" i="5"/>
  <c r="C14" i="5"/>
  <c r="J14" i="5" s="1"/>
  <c r="J13" i="5"/>
  <c r="I13" i="5"/>
  <c r="G13" i="5"/>
  <c r="E13" i="5"/>
  <c r="C13" i="5"/>
  <c r="I12" i="5"/>
  <c r="G12" i="5"/>
  <c r="E12" i="5"/>
  <c r="J12" i="5" s="1"/>
  <c r="C12" i="5"/>
  <c r="I11" i="5"/>
  <c r="G11" i="5"/>
  <c r="E11" i="5"/>
  <c r="C11" i="5"/>
  <c r="J11" i="5" s="1"/>
  <c r="I10" i="5"/>
  <c r="J10" i="5" s="1"/>
  <c r="G10" i="5"/>
  <c r="E10" i="5"/>
  <c r="C10" i="5"/>
  <c r="I9" i="5"/>
  <c r="G9" i="5"/>
  <c r="E9" i="5"/>
  <c r="C9" i="5"/>
  <c r="J9" i="5" s="1"/>
  <c r="I8" i="5"/>
  <c r="G8" i="5"/>
  <c r="E8" i="5"/>
  <c r="C8" i="5"/>
  <c r="J8" i="5" s="1"/>
  <c r="I7" i="5"/>
  <c r="G7" i="5"/>
  <c r="J7" i="5" s="1"/>
  <c r="E7" i="5"/>
  <c r="C7" i="5"/>
  <c r="I6" i="5"/>
  <c r="G6" i="5"/>
  <c r="E6" i="5"/>
  <c r="C6" i="5"/>
  <c r="I5" i="5"/>
  <c r="G5" i="5"/>
  <c r="E5" i="5"/>
  <c r="J5" i="5" s="1"/>
  <c r="C5" i="5"/>
  <c r="I4" i="5"/>
  <c r="G4" i="5"/>
  <c r="E4" i="5"/>
  <c r="J4" i="5" s="1"/>
  <c r="C4" i="5"/>
  <c r="I3" i="5"/>
  <c r="G3" i="5"/>
  <c r="E3" i="5"/>
  <c r="C3" i="5"/>
  <c r="J3" i="5" s="1"/>
  <c r="I2" i="5"/>
  <c r="J2" i="5" s="1"/>
  <c r="G2" i="5"/>
  <c r="E2" i="5"/>
  <c r="C2" i="5"/>
  <c r="I24" i="4"/>
  <c r="J24" i="4" s="1"/>
  <c r="G24" i="4"/>
  <c r="E24" i="4"/>
  <c r="C24" i="4"/>
  <c r="I23" i="4"/>
  <c r="G23" i="4"/>
  <c r="E23" i="4"/>
  <c r="C23" i="4"/>
  <c r="J23" i="4" s="1"/>
  <c r="I22" i="4"/>
  <c r="G22" i="4"/>
  <c r="E22" i="4"/>
  <c r="C22" i="4"/>
  <c r="J22" i="4" s="1"/>
  <c r="J21" i="4"/>
  <c r="I21" i="4"/>
  <c r="G21" i="4"/>
  <c r="E21" i="4"/>
  <c r="C21" i="4"/>
  <c r="I20" i="4"/>
  <c r="G20" i="4"/>
  <c r="E20" i="4"/>
  <c r="C20" i="4"/>
  <c r="J20" i="4" s="1"/>
  <c r="J19" i="4"/>
  <c r="I19" i="4"/>
  <c r="G19" i="4"/>
  <c r="E19" i="4"/>
  <c r="C19" i="4"/>
  <c r="I18" i="4"/>
  <c r="G18" i="4"/>
  <c r="E18" i="4"/>
  <c r="J18" i="4" s="1"/>
  <c r="C18" i="4"/>
  <c r="I17" i="4"/>
  <c r="G17" i="4"/>
  <c r="E17" i="4"/>
  <c r="C17" i="4"/>
  <c r="J17" i="4" s="1"/>
  <c r="I16" i="4"/>
  <c r="J16" i="4" s="1"/>
  <c r="G16" i="4"/>
  <c r="E16" i="4"/>
  <c r="C16" i="4"/>
  <c r="I15" i="4"/>
  <c r="G15" i="4"/>
  <c r="E15" i="4"/>
  <c r="C15" i="4"/>
  <c r="J15" i="4" s="1"/>
  <c r="I14" i="4"/>
  <c r="G14" i="4"/>
  <c r="E14" i="4"/>
  <c r="C14" i="4"/>
  <c r="J14" i="4" s="1"/>
  <c r="J13" i="4"/>
  <c r="I13" i="4"/>
  <c r="G13" i="4"/>
  <c r="E13" i="4"/>
  <c r="C13" i="4"/>
  <c r="I12" i="4"/>
  <c r="G12" i="4"/>
  <c r="E12" i="4"/>
  <c r="C12" i="4"/>
  <c r="J12" i="4" s="1"/>
  <c r="I11" i="4"/>
  <c r="J11" i="4" s="1"/>
  <c r="G11" i="4"/>
  <c r="E11" i="4"/>
  <c r="C11" i="4"/>
  <c r="I10" i="4"/>
  <c r="G10" i="4"/>
  <c r="E10" i="4"/>
  <c r="J10" i="4" s="1"/>
  <c r="C10" i="4"/>
  <c r="I9" i="4"/>
  <c r="G9" i="4"/>
  <c r="E9" i="4"/>
  <c r="C9" i="4"/>
  <c r="J9" i="4" s="1"/>
  <c r="I8" i="4"/>
  <c r="J8" i="4" s="1"/>
  <c r="G8" i="4"/>
  <c r="E8" i="4"/>
  <c r="C8" i="4"/>
  <c r="I7" i="4"/>
  <c r="G7" i="4"/>
  <c r="E7" i="4"/>
  <c r="C7" i="4"/>
  <c r="I6" i="4"/>
  <c r="G6" i="4"/>
  <c r="E6" i="4"/>
  <c r="C6" i="4"/>
  <c r="J6" i="4" s="1"/>
  <c r="J5" i="4"/>
  <c r="I5" i="4"/>
  <c r="G5" i="4"/>
  <c r="E5" i="4"/>
  <c r="C5" i="4"/>
  <c r="I4" i="4"/>
  <c r="G4" i="4"/>
  <c r="E4" i="4"/>
  <c r="C4" i="4"/>
  <c r="J3" i="4"/>
  <c r="I3" i="4"/>
  <c r="G3" i="4"/>
  <c r="E3" i="4"/>
  <c r="C3" i="4"/>
  <c r="I2" i="4"/>
  <c r="G2" i="4"/>
  <c r="E2" i="4"/>
  <c r="J2" i="4" s="1"/>
  <c r="C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  <c r="J6" i="5" l="1"/>
  <c r="J7" i="4"/>
  <c r="J4" i="4"/>
  <c r="J19" i="5"/>
</calcChain>
</file>

<file path=xl/sharedStrings.xml><?xml version="1.0" encoding="utf-8"?>
<sst xmlns="http://schemas.openxmlformats.org/spreadsheetml/2006/main" count="249" uniqueCount="43">
  <si>
    <t>APELLIDOS/NOMBRES</t>
  </si>
  <si>
    <t>Aporte Grupal</t>
  </si>
  <si>
    <t>S</t>
  </si>
  <si>
    <t>B-</t>
  </si>
  <si>
    <t>F</t>
  </si>
  <si>
    <t>A-</t>
  </si>
  <si>
    <t>B+</t>
  </si>
  <si>
    <t>Proyecto</t>
  </si>
  <si>
    <t>Aporte Individual</t>
  </si>
  <si>
    <t>Examen</t>
  </si>
  <si>
    <t>Nota Trimemestre</t>
  </si>
  <si>
    <t>Cualitativa</t>
  </si>
  <si>
    <t>Comportamiento</t>
  </si>
  <si>
    <t>Falta Injustificada</t>
  </si>
  <si>
    <t>Falta Justificada</t>
  </si>
  <si>
    <t>Juan Cabrera</t>
  </si>
  <si>
    <t>Pedro Quituizaca</t>
  </si>
  <si>
    <t>Maria Rodriguez</t>
  </si>
  <si>
    <t>Jose Vasquez</t>
  </si>
  <si>
    <t>Scarlet Sarango</t>
  </si>
  <si>
    <t>Andy Poma</t>
  </si>
  <si>
    <t>Elian Sanchez</t>
  </si>
  <si>
    <t>Steven Cuenca</t>
  </si>
  <si>
    <t>Fernando Medina</t>
  </si>
  <si>
    <t>Elkin Quizhpe</t>
  </si>
  <si>
    <t>Jhostin Capa</t>
  </si>
  <si>
    <t>Adrian Zumba</t>
  </si>
  <si>
    <t>Pamela Tapia</t>
  </si>
  <si>
    <t>Sofia Obelencio</t>
  </si>
  <si>
    <t>Fernanda Poma</t>
  </si>
  <si>
    <t>Anahi Paz</t>
  </si>
  <si>
    <t>Lesly Plaza</t>
  </si>
  <si>
    <t>Ximena Minga</t>
  </si>
  <si>
    <t>Dayana Gualan</t>
  </si>
  <si>
    <t>Daniela Vivanco</t>
  </si>
  <si>
    <t>Fiorella Gonzalez</t>
  </si>
  <si>
    <t>Alexis Rodriguez</t>
  </si>
  <si>
    <t>Milenka Palacios</t>
  </si>
  <si>
    <t>C</t>
  </si>
  <si>
    <t>35%(Aporte Individual)</t>
  </si>
  <si>
    <t>35%(Aporte Grupal)</t>
  </si>
  <si>
    <t>10%(Proyecto)</t>
  </si>
  <si>
    <t>20%(Examen)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</si>
</sst>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#"/>
  </numFmts>
  <fonts count="10" x14ac:knownFonts="1">
    <font>
      <sz val="11"/>
      <color theme="1"/>
      <name val="Calibri"/>
      <family val="2"/>
      <charset val="1"/>
    </font>
    <font>
      <b/>
      <sz val="11"/>
      <color rgb="FF8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800000"/>
      <name val="Calibri"/>
      <family val="2"/>
      <charset val="1"/>
    </font>
    <font>
      <b/>
      <sz val="8"/>
      <color rgb="FF008080"/>
      <name val="Arial"/>
      <family val="2"/>
      <charset val="1"/>
    </font>
    <font>
      <b/>
      <sz val="8"/>
      <color rgb="FF800000"/>
      <name val="Arial"/>
      <family val="2"/>
      <charset val="1"/>
    </font>
    <font>
      <b/>
      <sz val="10"/>
      <color rgb="FF008080"/>
      <name val="Calibri"/>
      <family val="2"/>
      <charset val="1"/>
    </font>
    <font>
      <sz val="10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E4BC"/>
        <bgColor rgb="FFCCCC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/>
    <xf numFmtId="164" fontId="4" fillId="0" borderId="3" xfId="0" applyNumberFormat="1" applyFont="1" applyBorder="1"/>
    <xf numFmtId="164" fontId="3" fillId="2" borderId="3" xfId="0" applyNumberFormat="1" applyFont="1" applyFill="1" applyBorder="1"/>
    <xf numFmtId="0" fontId="8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4" fontId="8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8" fillId="0" borderId="4" xfId="0" applyFont="1" applyBorder="1"/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/>
    <xf numFmtId="9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fill>
        <patternFill patternType="solid">
          <fgColor rgb="FFCCCCFF"/>
          <bgColor rgb="FFD8E4BC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fill>
        <patternFill patternType="solid">
          <fgColor rgb="FFCCCCFF"/>
          <bgColor rgb="FFD8E4BC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5" formatCode="#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fill>
        <patternFill patternType="solid">
          <fgColor rgb="FFCCCCFF"/>
          <bgColor rgb="FFD8E4BC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164" formatCode="#0.0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C65F3-D24C-4BAF-9BDC-CAD6327809AB}" name="Tabla1" displayName="Tabla1" ref="A1:N24" totalsRowShown="0" headerRowDxfId="47" tableBorderDxfId="46">
  <autoFilter ref="A1:N24" xr:uid="{7C5C65F3-D24C-4BAF-9BDC-CAD6327809AB}"/>
  <sortState xmlns:xlrd2="http://schemas.microsoft.com/office/spreadsheetml/2017/richdata2" ref="A2:N24">
    <sortCondition ref="A1:A24"/>
  </sortState>
  <tableColumns count="14">
    <tableColumn id="1" xr3:uid="{0DEB1C62-D51F-41B1-B606-2C9CFD559EF6}" name="APELLIDOS/NOMBRES" dataDxfId="45"/>
    <tableColumn id="2" xr3:uid="{6F16BD92-BC7A-49A2-9F87-0A010A7D6E59}" name="Aporte Individual" dataDxfId="44"/>
    <tableColumn id="3" xr3:uid="{A16E2A35-36C5-4CF0-8BB9-AB6B36457FEA}" name="35%(Aporte Individual)" dataDxfId="43">
      <calculatedColumnFormula>(Tabla1[[#This Row],[Aporte Individual]]*0.35)</calculatedColumnFormula>
    </tableColumn>
    <tableColumn id="4" xr3:uid="{0E3D26D2-7751-468D-89C8-EAFAD7F47556}" name="Aporte Grupal" dataDxfId="42"/>
    <tableColumn id="5" xr3:uid="{6A0D9A48-F2BB-4A79-A3AB-28F513C878F8}" name="35%(Aporte Grupal)" dataDxfId="41">
      <calculatedColumnFormula>Tabla1[[#This Row],[Aporte Grupal]]*0.35</calculatedColumnFormula>
    </tableColumn>
    <tableColumn id="6" xr3:uid="{AE994DE9-1F2C-4F10-A5F3-2164D2E53143}" name="Proyecto" dataDxfId="40"/>
    <tableColumn id="7" xr3:uid="{A1AD636F-A01F-4BE1-B4B6-A8FD7241F278}" name="10%(Proyecto)" dataDxfId="39">
      <calculatedColumnFormula>Tabla1[[#This Row],[Proyecto]]*0.1</calculatedColumnFormula>
    </tableColumn>
    <tableColumn id="8" xr3:uid="{8A359320-0BFB-4D6A-85A6-10ADCED2162F}" name="Examen" dataDxfId="38"/>
    <tableColumn id="9" xr3:uid="{FE19C5F4-A89C-4209-8812-B0D0C07E873A}" name="20%(Examen)" dataDxfId="37">
      <calculatedColumnFormula>Tabla1[[#This Row],[Examen]]*0.2</calculatedColumnFormula>
    </tableColumn>
    <tableColumn id="10" xr3:uid="{2569021F-8839-4714-94AB-445CA12D0BB2}" name="Nota Trimemestre" dataDxfId="36">
      <calculatedColumnFormula>SUM(Tabla1[[#This Row],[35%(Aporte Individual)]],Tabla1[[#This Row],[35%(Aporte Grupal)]],Tabla1[[#This Row],[10%(Proyecto)]],Tabla1[[#This Row],[20%(Examen)]])</calculatedColumnFormula>
    </tableColumn>
    <tableColumn id="11" xr3:uid="{435C3D58-310B-48BB-9837-FCF15EDBDCE3}" name="Cualitativa" dataDxfId="35"/>
    <tableColumn id="12" xr3:uid="{0F5E3F25-1599-4D10-BB5D-AFA02471AF0E}" name="Comportamiento" dataDxfId="34"/>
    <tableColumn id="13" xr3:uid="{62D84875-1AFA-444A-9C02-30498928F3DE}" name="Falta Injustificada" dataDxfId="33"/>
    <tableColumn id="14" xr3:uid="{77A3D993-F5C2-47EF-BA98-867E0EE3E9D4}" name="Falta Justificada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55A28C-720E-4142-A300-43A24CD94A1A}" name="Tabla15" displayName="Tabla15" ref="A1:N24" totalsRowShown="0" headerRowDxfId="31" tableBorderDxfId="30">
  <autoFilter ref="A1:N24" xr:uid="{7C5C65F3-D24C-4BAF-9BDC-CAD6327809AB}"/>
  <sortState xmlns:xlrd2="http://schemas.microsoft.com/office/spreadsheetml/2017/richdata2" ref="A2:N24">
    <sortCondition ref="A1:A24"/>
  </sortState>
  <tableColumns count="14">
    <tableColumn id="1" xr3:uid="{8025D495-127E-484F-859F-E9BB7B69A49C}" name="APELLIDOS/NOMBRES" dataDxfId="29"/>
    <tableColumn id="2" xr3:uid="{E76B9821-050C-4D5E-A85A-BA76FBC53C6F}" name="Aporte Individual" dataDxfId="28"/>
    <tableColumn id="3" xr3:uid="{BDE35772-142B-4747-8875-ECB2DA312E63}" name="35%(Aporte Individual)" dataDxfId="27">
      <calculatedColumnFormula>(Tabla15[[#This Row],[Aporte Individual]]*0.35)</calculatedColumnFormula>
    </tableColumn>
    <tableColumn id="4" xr3:uid="{5EA662BA-388A-4EC2-BBF1-6AB6E3C4BB01}" name="Aporte Grupal" dataDxfId="26"/>
    <tableColumn id="5" xr3:uid="{B0932856-FC0B-4CB5-AD9D-FE943DBAF600}" name="35%(Aporte Grupal)" dataDxfId="25">
      <calculatedColumnFormula>Tabla15[[#This Row],[Aporte Grupal]]*0.35</calculatedColumnFormula>
    </tableColumn>
    <tableColumn id="6" xr3:uid="{AB2C4074-B675-44EE-8361-45D81D308782}" name="Proyecto" dataDxfId="24"/>
    <tableColumn id="7" xr3:uid="{2CA930A4-4F63-4EA4-A88B-E9372EF7238F}" name="10%(Proyecto)" dataDxfId="23">
      <calculatedColumnFormula>Tabla15[[#This Row],[Proyecto]]*0.1</calculatedColumnFormula>
    </tableColumn>
    <tableColumn id="8" xr3:uid="{64386E13-08B6-46E1-9073-3E59A730886F}" name="Examen" dataDxfId="22"/>
    <tableColumn id="9" xr3:uid="{465CB7DC-0E4A-4BDD-9DFB-8F7C47C7673A}" name="20%(Examen)" dataDxfId="21">
      <calculatedColumnFormula>Tabla15[[#This Row],[Examen]]*0.2</calculatedColumnFormula>
    </tableColumn>
    <tableColumn id="10" xr3:uid="{612F52ED-A406-4073-B5C9-132F8AB4507C}" name="Nota Trimemestre" dataDxfId="20">
      <calculatedColumnFormula>SUM(Tabla15[[#This Row],[35%(Aporte Individual)]],Tabla15[[#This Row],[35%(Aporte Grupal)]],Tabla15[[#This Row],[10%(Proyecto)]],Tabla15[[#This Row],[20%(Examen)]])</calculatedColumnFormula>
    </tableColumn>
    <tableColumn id="11" xr3:uid="{8D2C9CCB-F432-4F51-B91A-22873BDAAA0E}" name="Cualitativa" dataDxfId="19"/>
    <tableColumn id="12" xr3:uid="{6FFCF7D5-F376-46A4-8578-675D500585E7}" name="Comportamiento" dataDxfId="18"/>
    <tableColumn id="13" xr3:uid="{86BFDF22-DE6F-48DB-B71F-F9C278B3EDEE}" name="Falta Injustificada" dataDxfId="17"/>
    <tableColumn id="14" xr3:uid="{3F11A958-39ED-4360-BBA2-14EEE0D7BAD9}" name="Falta Justificada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CC4AC1-6F21-4E46-920C-3AA2C29D0464}" name="Tabla16" displayName="Tabla16" ref="A1:N24" totalsRowShown="0" headerRowDxfId="15" tableBorderDxfId="14">
  <autoFilter ref="A1:N24" xr:uid="{7C5C65F3-D24C-4BAF-9BDC-CAD6327809AB}"/>
  <sortState xmlns:xlrd2="http://schemas.microsoft.com/office/spreadsheetml/2017/richdata2" ref="A2:N24">
    <sortCondition ref="A1:A24"/>
  </sortState>
  <tableColumns count="14">
    <tableColumn id="1" xr3:uid="{40E14C00-71B0-4443-BBAA-005558E97DD5}" name="APELLIDOS/NOMBRES" dataDxfId="13"/>
    <tableColumn id="2" xr3:uid="{C82585BD-C930-496D-B10D-30700707FA4D}" name="Aporte Individual" dataDxfId="12"/>
    <tableColumn id="3" xr3:uid="{763EF4B1-3215-4A1F-825D-D3BEA0B3C4BC}" name="35%(Aporte Individual)" dataDxfId="11">
      <calculatedColumnFormula>(Tabla16[[#This Row],[Aporte Individual]]*0.35)</calculatedColumnFormula>
    </tableColumn>
    <tableColumn id="4" xr3:uid="{0DB2AB3C-C601-437C-89D4-3CAAAFBCFBD4}" name="Aporte Grupal" dataDxfId="10"/>
    <tableColumn id="5" xr3:uid="{5356C45F-0E45-4962-A876-A0E4392F7E53}" name="35%(Aporte Grupal)" dataDxfId="9">
      <calculatedColumnFormula>Tabla16[[#This Row],[Aporte Grupal]]*0.35</calculatedColumnFormula>
    </tableColumn>
    <tableColumn id="6" xr3:uid="{2F47DBF8-B05D-4A5A-9CA3-D6760071A456}" name="Proyecto" dataDxfId="8"/>
    <tableColumn id="7" xr3:uid="{926A33B9-4124-4A9F-89B1-35A549530E13}" name="10%(Proyecto)" dataDxfId="7">
      <calculatedColumnFormula>Tabla16[[#This Row],[Proyecto]]*0.1</calculatedColumnFormula>
    </tableColumn>
    <tableColumn id="8" xr3:uid="{F92B0E82-7120-4150-9D12-91D831162A89}" name="Examen" dataDxfId="6"/>
    <tableColumn id="9" xr3:uid="{5200599B-1E1B-466B-BA1B-FA2F03C3D352}" name="20%(Examen)" dataDxfId="5">
      <calculatedColumnFormula>Tabla16[[#This Row],[Examen]]*0.2</calculatedColumnFormula>
    </tableColumn>
    <tableColumn id="10" xr3:uid="{C221DB24-0C69-41B8-B1BD-8B51322BA87B}" name="Nota Trimemestre" dataDxfId="4">
      <calculatedColumnFormula>SUM(Tabla16[[#This Row],[35%(Aporte Individual)]],Tabla16[[#This Row],[35%(Aporte Grupal)]],Tabla16[[#This Row],[10%(Proyecto)]],Tabla16[[#This Row],[20%(Examen)]])</calculatedColumnFormula>
    </tableColumn>
    <tableColumn id="11" xr3:uid="{B06B415C-507D-4AC8-B209-D3FE2E8453B1}" name="Cualitativa" dataDxfId="3"/>
    <tableColumn id="12" xr3:uid="{FADC00B6-5517-4A71-A173-5C4EC0289404}" name="Comportamiento" dataDxfId="2"/>
    <tableColumn id="13" xr3:uid="{1744A1FE-7D81-4544-BC01-C6019A99D784}" name="Falta Injustificada" dataDxfId="1"/>
    <tableColumn id="14" xr3:uid="{ABD34C0D-526E-4EF7-8EE1-43158C009485}" name="Falta Justific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zoomScaleNormal="100" workbookViewId="0">
      <selection activeCell="H8" sqref="H8"/>
    </sheetView>
  </sheetViews>
  <sheetFormatPr baseColWidth="10" defaultColWidth="10.6640625" defaultRowHeight="14.4" x14ac:dyDescent="0.3"/>
  <cols>
    <col min="1" max="1" width="36.77734375" customWidth="1"/>
    <col min="2" max="2" width="12.77734375" style="1" customWidth="1"/>
    <col min="3" max="3" width="8.5546875" style="2" customWidth="1"/>
    <col min="4" max="4" width="12.77734375" style="1" customWidth="1"/>
    <col min="5" max="5" width="9.5546875" style="2" customWidth="1"/>
    <col min="6" max="6" width="9.5546875" style="1" customWidth="1"/>
    <col min="7" max="7" width="6.33203125" style="2" customWidth="1"/>
    <col min="8" max="8" width="9.109375" style="1" customWidth="1"/>
    <col min="9" max="9" width="6.33203125" style="2" customWidth="1"/>
    <col min="10" max="10" width="10.6640625" style="3" customWidth="1"/>
    <col min="11" max="11" width="10.88671875" style="4" customWidth="1"/>
    <col min="12" max="12" width="10.21875" style="5" customWidth="1"/>
    <col min="13" max="13" width="10.6640625" style="6" customWidth="1"/>
    <col min="14" max="14" width="10.5546875" style="6" customWidth="1"/>
    <col min="15" max="16" width="5.33203125" customWidth="1"/>
  </cols>
  <sheetData>
    <row r="1" spans="1:16" s="36" customFormat="1" ht="24.75" customHeight="1" x14ac:dyDescent="0.3">
      <c r="A1" s="30" t="s">
        <v>0</v>
      </c>
      <c r="B1" s="31" t="s">
        <v>8</v>
      </c>
      <c r="C1" s="37" t="s">
        <v>39</v>
      </c>
      <c r="D1" s="31" t="s">
        <v>1</v>
      </c>
      <c r="E1" s="37" t="s">
        <v>40</v>
      </c>
      <c r="F1" s="31" t="s">
        <v>7</v>
      </c>
      <c r="G1" s="32" t="s">
        <v>41</v>
      </c>
      <c r="H1" s="31" t="s">
        <v>9</v>
      </c>
      <c r="I1" s="32" t="s">
        <v>42</v>
      </c>
      <c r="J1" s="33" t="s">
        <v>10</v>
      </c>
      <c r="K1" s="31" t="s">
        <v>11</v>
      </c>
      <c r="L1" s="31" t="s">
        <v>12</v>
      </c>
      <c r="M1" s="31" t="s">
        <v>13</v>
      </c>
      <c r="N1" s="34" t="s">
        <v>14</v>
      </c>
      <c r="O1" s="35"/>
      <c r="P1" s="35"/>
    </row>
    <row r="2" spans="1:16" s="10" customFormat="1" ht="13.8" x14ac:dyDescent="0.3">
      <c r="A2" s="29" t="s">
        <v>26</v>
      </c>
      <c r="B2" s="14">
        <v>8.57</v>
      </c>
      <c r="C2" s="15">
        <f>(Tabla1[[#This Row],[Aporte Individual]]*0.35)</f>
        <v>2.9994999999999998</v>
      </c>
      <c r="D2" s="14">
        <v>7</v>
      </c>
      <c r="E2" s="15">
        <f>Tabla1[[#This Row],[Aporte Grupal]]*0.35</f>
        <v>2.4499999999999997</v>
      </c>
      <c r="F2" s="14">
        <v>10</v>
      </c>
      <c r="G2" s="15">
        <f>Tabla1[[#This Row],[Proyecto]]*0.1</f>
        <v>1</v>
      </c>
      <c r="H2" s="14">
        <v>7</v>
      </c>
      <c r="I2" s="15">
        <f>Tabla1[[#This Row],[Examen]]*0.2</f>
        <v>1.4000000000000001</v>
      </c>
      <c r="J2" s="16">
        <f>SUM(Tabla1[[#This Row],[35%(Aporte Individual)]],Tabla1[[#This Row],[35%(Aporte Grupal)]],Tabla1[[#This Row],[10%(Proyecto)]],Tabla1[[#This Row],[20%(Examen)]])</f>
        <v>7.8494999999999999</v>
      </c>
      <c r="K2" s="7" t="s">
        <v>3</v>
      </c>
      <c r="L2" s="8" t="s">
        <v>2</v>
      </c>
      <c r="M2" s="9">
        <v>1</v>
      </c>
      <c r="N2" s="26">
        <v>1</v>
      </c>
    </row>
    <row r="3" spans="1:16" s="10" customFormat="1" ht="13.8" x14ac:dyDescent="0.3">
      <c r="A3" s="29" t="s">
        <v>36</v>
      </c>
      <c r="B3" s="14">
        <v>4</v>
      </c>
      <c r="C3" s="15">
        <f>(Tabla1[[#This Row],[Aporte Individual]]*0.35)</f>
        <v>1.4</v>
      </c>
      <c r="D3" s="14">
        <v>7</v>
      </c>
      <c r="E3" s="15">
        <f>Tabla1[[#This Row],[Aporte Grupal]]*0.35</f>
        <v>2.4499999999999997</v>
      </c>
      <c r="F3" s="14">
        <v>5</v>
      </c>
      <c r="G3" s="15">
        <f>Tabla1[[#This Row],[Proyecto]]*0.1</f>
        <v>0.5</v>
      </c>
      <c r="H3" s="14">
        <v>6.5</v>
      </c>
      <c r="I3" s="15">
        <f>Tabla1[[#This Row],[Examen]]*0.2</f>
        <v>1.3</v>
      </c>
      <c r="J3" s="16">
        <f>SUM(Tabla1[[#This Row],[35%(Aporte Individual)]],Tabla1[[#This Row],[35%(Aporte Grupal)]],Tabla1[[#This Row],[10%(Proyecto)]],Tabla1[[#This Row],[20%(Examen)]])</f>
        <v>5.6499999999999995</v>
      </c>
      <c r="K3" s="11" t="s">
        <v>38</v>
      </c>
      <c r="L3" s="12" t="s">
        <v>2</v>
      </c>
      <c r="M3" s="13">
        <v>0</v>
      </c>
      <c r="N3" s="27">
        <v>0</v>
      </c>
    </row>
    <row r="4" spans="1:16" s="10" customFormat="1" ht="13.8" x14ac:dyDescent="0.3">
      <c r="A4" s="29" t="s">
        <v>30</v>
      </c>
      <c r="B4" s="14">
        <v>9</v>
      </c>
      <c r="C4" s="15">
        <f>(Tabla1[[#This Row],[Aporte Individual]]*0.35)</f>
        <v>3.15</v>
      </c>
      <c r="D4" s="14">
        <v>10</v>
      </c>
      <c r="E4" s="15">
        <f>Tabla1[[#This Row],[Aporte Grupal]]*0.35</f>
        <v>3.5</v>
      </c>
      <c r="F4" s="14">
        <v>10</v>
      </c>
      <c r="G4" s="15">
        <f>Tabla1[[#This Row],[Proyecto]]*0.1</f>
        <v>1</v>
      </c>
      <c r="H4" s="14">
        <v>10</v>
      </c>
      <c r="I4" s="15">
        <f>Tabla1[[#This Row],[Examen]]*0.2</f>
        <v>2</v>
      </c>
      <c r="J4" s="16">
        <f>SUM(Tabla1[[#This Row],[35%(Aporte Individual)]],Tabla1[[#This Row],[35%(Aporte Grupal)]],Tabla1[[#This Row],[10%(Proyecto)]],Tabla1[[#This Row],[20%(Examen)]])</f>
        <v>9.65</v>
      </c>
      <c r="K4" s="11" t="s">
        <v>5</v>
      </c>
      <c r="L4" s="12" t="s">
        <v>2</v>
      </c>
      <c r="M4" s="13">
        <v>0</v>
      </c>
      <c r="N4" s="27">
        <v>0</v>
      </c>
    </row>
    <row r="5" spans="1:16" s="10" customFormat="1" ht="13.8" x14ac:dyDescent="0.3">
      <c r="A5" s="29" t="s">
        <v>20</v>
      </c>
      <c r="B5" s="14">
        <v>7.29</v>
      </c>
      <c r="C5" s="15">
        <f>(Tabla1[[#This Row],[Aporte Individual]]*0.35)</f>
        <v>2.5514999999999999</v>
      </c>
      <c r="D5" s="14">
        <v>7</v>
      </c>
      <c r="E5" s="15">
        <f>Tabla1[[#This Row],[Aporte Grupal]]*0.35</f>
        <v>2.4499999999999997</v>
      </c>
      <c r="F5" s="14">
        <v>9</v>
      </c>
      <c r="G5" s="15">
        <f>Tabla1[[#This Row],[Proyecto]]*0.1</f>
        <v>0.9</v>
      </c>
      <c r="H5" s="14">
        <v>5.7</v>
      </c>
      <c r="I5" s="15">
        <f>Tabla1[[#This Row],[Examen]]*0.2</f>
        <v>1.1400000000000001</v>
      </c>
      <c r="J5" s="16">
        <f>SUM(Tabla1[[#This Row],[35%(Aporte Individual)]],Tabla1[[#This Row],[35%(Aporte Grupal)]],Tabla1[[#This Row],[10%(Proyecto)]],Tabla1[[#This Row],[20%(Examen)]])</f>
        <v>7.041500000000001</v>
      </c>
      <c r="K5" s="11" t="s">
        <v>3</v>
      </c>
      <c r="L5" s="12" t="s">
        <v>4</v>
      </c>
      <c r="M5" s="13">
        <v>0</v>
      </c>
      <c r="N5" s="27">
        <v>0</v>
      </c>
    </row>
    <row r="6" spans="1:16" s="10" customFormat="1" ht="13.8" x14ac:dyDescent="0.3">
      <c r="A6" s="29" t="s">
        <v>34</v>
      </c>
      <c r="B6" s="14">
        <v>9.69</v>
      </c>
      <c r="C6" s="15">
        <f>(Tabla1[[#This Row],[Aporte Individual]]*0.35)</f>
        <v>3.3914999999999997</v>
      </c>
      <c r="D6" s="14">
        <v>10</v>
      </c>
      <c r="E6" s="15">
        <f>Tabla1[[#This Row],[Aporte Grupal]]*0.35</f>
        <v>3.5</v>
      </c>
      <c r="F6" s="14">
        <v>10</v>
      </c>
      <c r="G6" s="15">
        <f>Tabla1[[#This Row],[Proyecto]]*0.1</f>
        <v>1</v>
      </c>
      <c r="H6" s="14">
        <v>7</v>
      </c>
      <c r="I6" s="15">
        <f>Tabla1[[#This Row],[Examen]]*0.2</f>
        <v>1.4000000000000001</v>
      </c>
      <c r="J6" s="16">
        <f>SUM(Tabla1[[#This Row],[35%(Aporte Individual)]],Tabla1[[#This Row],[35%(Aporte Grupal)]],Tabla1[[#This Row],[10%(Proyecto)]],Tabla1[[#This Row],[20%(Examen)]])</f>
        <v>9.2914999999999992</v>
      </c>
      <c r="K6" s="11" t="s">
        <v>5</v>
      </c>
      <c r="L6" s="12" t="s">
        <v>2</v>
      </c>
      <c r="M6" s="13">
        <v>1</v>
      </c>
      <c r="N6" s="27">
        <v>0</v>
      </c>
    </row>
    <row r="7" spans="1:16" s="10" customFormat="1" ht="13.8" x14ac:dyDescent="0.3">
      <c r="A7" s="29" t="s">
        <v>33</v>
      </c>
      <c r="B7" s="14">
        <v>6.81</v>
      </c>
      <c r="C7" s="15">
        <f>(Tabla1[[#This Row],[Aporte Individual]]*0.35)</f>
        <v>2.3834999999999997</v>
      </c>
      <c r="D7" s="14">
        <v>7</v>
      </c>
      <c r="E7" s="15">
        <f>Tabla1[[#This Row],[Aporte Grupal]]*0.35</f>
        <v>2.4499999999999997</v>
      </c>
      <c r="F7" s="14">
        <v>10</v>
      </c>
      <c r="G7" s="15">
        <f>Tabla1[[#This Row],[Proyecto]]*0.1</f>
        <v>1</v>
      </c>
      <c r="H7" s="14">
        <v>5.86</v>
      </c>
      <c r="I7" s="15">
        <f>Tabla1[[#This Row],[Examen]]*0.2</f>
        <v>1.1720000000000002</v>
      </c>
      <c r="J7" s="16">
        <f>SUM(Tabla1[[#This Row],[35%(Aporte Individual)]],Tabla1[[#This Row],[35%(Aporte Grupal)]],Tabla1[[#This Row],[10%(Proyecto)]],Tabla1[[#This Row],[20%(Examen)]])</f>
        <v>7.0054999999999996</v>
      </c>
      <c r="K7" s="11" t="s">
        <v>3</v>
      </c>
      <c r="L7" s="12" t="s">
        <v>4</v>
      </c>
      <c r="M7" s="13">
        <v>0</v>
      </c>
      <c r="N7" s="27">
        <v>0</v>
      </c>
    </row>
    <row r="8" spans="1:16" s="10" customFormat="1" ht="13.8" x14ac:dyDescent="0.3">
      <c r="A8" s="29" t="s">
        <v>21</v>
      </c>
      <c r="B8" s="14">
        <v>6.86</v>
      </c>
      <c r="C8" s="15">
        <f>(Tabla1[[#This Row],[Aporte Individual]]*0.35)</f>
        <v>2.4009999999999998</v>
      </c>
      <c r="D8" s="14">
        <v>10</v>
      </c>
      <c r="E8" s="15">
        <f>Tabla1[[#This Row],[Aporte Grupal]]*0.35</f>
        <v>3.5</v>
      </c>
      <c r="F8" s="14">
        <v>10</v>
      </c>
      <c r="G8" s="15">
        <f>Tabla1[[#This Row],[Proyecto]]*0.1</f>
        <v>1</v>
      </c>
      <c r="H8" s="14">
        <v>5.2</v>
      </c>
      <c r="I8" s="15">
        <f>Tabla1[[#This Row],[Examen]]*0.2</f>
        <v>1.04</v>
      </c>
      <c r="J8" s="16">
        <f>SUM(Tabla1[[#This Row],[35%(Aporte Individual)]],Tabla1[[#This Row],[35%(Aporte Grupal)]],Tabla1[[#This Row],[10%(Proyecto)]],Tabla1[[#This Row],[20%(Examen)]])</f>
        <v>7.9409999999999998</v>
      </c>
      <c r="K8" s="11" t="s">
        <v>3</v>
      </c>
      <c r="L8" s="12" t="s">
        <v>2</v>
      </c>
      <c r="M8" s="13">
        <v>0</v>
      </c>
      <c r="N8" s="27">
        <v>0</v>
      </c>
    </row>
    <row r="9" spans="1:16" s="10" customFormat="1" ht="13.8" x14ac:dyDescent="0.3">
      <c r="A9" s="29" t="s">
        <v>24</v>
      </c>
      <c r="B9" s="14">
        <v>7.14</v>
      </c>
      <c r="C9" s="15">
        <f>(Tabla1[[#This Row],[Aporte Individual]]*0.35)</f>
        <v>2.4989999999999997</v>
      </c>
      <c r="D9" s="14">
        <v>7.7</v>
      </c>
      <c r="E9" s="15">
        <f>Tabla1[[#This Row],[Aporte Grupal]]*0.35</f>
        <v>2.6949999999999998</v>
      </c>
      <c r="F9" s="14">
        <v>10</v>
      </c>
      <c r="G9" s="15">
        <f>Tabla1[[#This Row],[Proyecto]]*0.1</f>
        <v>1</v>
      </c>
      <c r="H9" s="14">
        <v>4.2</v>
      </c>
      <c r="I9" s="15">
        <f>Tabla1[[#This Row],[Examen]]*0.2</f>
        <v>0.84000000000000008</v>
      </c>
      <c r="J9" s="16">
        <f>SUM(Tabla1[[#This Row],[35%(Aporte Individual)]],Tabla1[[#This Row],[35%(Aporte Grupal)]],Tabla1[[#This Row],[10%(Proyecto)]],Tabla1[[#This Row],[20%(Examen)]])</f>
        <v>7.0339999999999989</v>
      </c>
      <c r="K9" s="11" t="s">
        <v>3</v>
      </c>
      <c r="L9" s="12" t="s">
        <v>2</v>
      </c>
      <c r="M9" s="13">
        <v>2</v>
      </c>
      <c r="N9" s="27">
        <v>0</v>
      </c>
    </row>
    <row r="10" spans="1:16" s="10" customFormat="1" ht="13.8" x14ac:dyDescent="0.3">
      <c r="A10" s="29" t="s">
        <v>29</v>
      </c>
      <c r="B10" s="14">
        <v>7.29</v>
      </c>
      <c r="C10" s="15">
        <f>(Tabla1[[#This Row],[Aporte Individual]]*0.35)</f>
        <v>2.5514999999999999</v>
      </c>
      <c r="D10" s="14">
        <v>7</v>
      </c>
      <c r="E10" s="15">
        <f>Tabla1[[#This Row],[Aporte Grupal]]*0.35</f>
        <v>2.4499999999999997</v>
      </c>
      <c r="F10" s="14">
        <v>9</v>
      </c>
      <c r="G10" s="15">
        <f>Tabla1[[#This Row],[Proyecto]]*0.1</f>
        <v>0.9</v>
      </c>
      <c r="H10" s="14">
        <v>6</v>
      </c>
      <c r="I10" s="15">
        <f>Tabla1[[#This Row],[Examen]]*0.2</f>
        <v>1.2000000000000002</v>
      </c>
      <c r="J10" s="16">
        <f>SUM(Tabla1[[#This Row],[35%(Aporte Individual)]],Tabla1[[#This Row],[35%(Aporte Grupal)]],Tabla1[[#This Row],[10%(Proyecto)]],Tabla1[[#This Row],[20%(Examen)]])</f>
        <v>7.1015000000000006</v>
      </c>
      <c r="K10" s="11" t="s">
        <v>3</v>
      </c>
      <c r="L10" s="12" t="s">
        <v>4</v>
      </c>
      <c r="M10" s="13">
        <v>0</v>
      </c>
      <c r="N10" s="27">
        <v>0</v>
      </c>
    </row>
    <row r="11" spans="1:16" s="10" customFormat="1" ht="13.8" x14ac:dyDescent="0.3">
      <c r="A11" s="29" t="s">
        <v>23</v>
      </c>
      <c r="B11" s="14">
        <v>7.29</v>
      </c>
      <c r="C11" s="15">
        <f>(Tabla1[[#This Row],[Aporte Individual]]*0.35)</f>
        <v>2.5514999999999999</v>
      </c>
      <c r="D11" s="14">
        <v>10</v>
      </c>
      <c r="E11" s="15">
        <f>Tabla1[[#This Row],[Aporte Grupal]]*0.35</f>
        <v>3.5</v>
      </c>
      <c r="F11" s="14">
        <v>10</v>
      </c>
      <c r="G11" s="15">
        <f>Tabla1[[#This Row],[Proyecto]]*0.1</f>
        <v>1</v>
      </c>
      <c r="H11" s="14">
        <v>5.5</v>
      </c>
      <c r="I11" s="15">
        <f>Tabla1[[#This Row],[Examen]]*0.2</f>
        <v>1.1000000000000001</v>
      </c>
      <c r="J11" s="16">
        <f>SUM(Tabla1[[#This Row],[35%(Aporte Individual)]],Tabla1[[#This Row],[35%(Aporte Grupal)]],Tabla1[[#This Row],[10%(Proyecto)]],Tabla1[[#This Row],[20%(Examen)]])</f>
        <v>8.1515000000000004</v>
      </c>
      <c r="K11" s="11" t="s">
        <v>6</v>
      </c>
      <c r="L11" s="12" t="s">
        <v>2</v>
      </c>
      <c r="M11" s="13">
        <v>0</v>
      </c>
      <c r="N11" s="27">
        <v>0</v>
      </c>
    </row>
    <row r="12" spans="1:16" s="10" customFormat="1" ht="13.8" x14ac:dyDescent="0.3">
      <c r="A12" s="29" t="s">
        <v>35</v>
      </c>
      <c r="B12" s="14">
        <v>8.7100000000000009</v>
      </c>
      <c r="C12" s="15">
        <f>(Tabla1[[#This Row],[Aporte Individual]]*0.35)</f>
        <v>3.0485000000000002</v>
      </c>
      <c r="D12" s="14">
        <v>6.25</v>
      </c>
      <c r="E12" s="15">
        <f>Tabla1[[#This Row],[Aporte Grupal]]*0.35</f>
        <v>2.1875</v>
      </c>
      <c r="F12" s="14">
        <v>10</v>
      </c>
      <c r="G12" s="15">
        <f>Tabla1[[#This Row],[Proyecto]]*0.1</f>
        <v>1</v>
      </c>
      <c r="H12" s="14">
        <v>7.25</v>
      </c>
      <c r="I12" s="15">
        <f>Tabla1[[#This Row],[Examen]]*0.2</f>
        <v>1.4500000000000002</v>
      </c>
      <c r="J12" s="16">
        <f>SUM(Tabla1[[#This Row],[35%(Aporte Individual)]],Tabla1[[#This Row],[35%(Aporte Grupal)]],Tabla1[[#This Row],[10%(Proyecto)]],Tabla1[[#This Row],[20%(Examen)]])</f>
        <v>7.6860000000000008</v>
      </c>
      <c r="K12" s="11" t="s">
        <v>3</v>
      </c>
      <c r="L12" s="12" t="s">
        <v>2</v>
      </c>
      <c r="M12" s="13">
        <v>0</v>
      </c>
      <c r="N12" s="27">
        <v>0</v>
      </c>
    </row>
    <row r="13" spans="1:16" s="10" customFormat="1" ht="13.8" x14ac:dyDescent="0.3">
      <c r="A13" s="29" t="s">
        <v>25</v>
      </c>
      <c r="B13" s="14">
        <v>7.88</v>
      </c>
      <c r="C13" s="15">
        <f>(Tabla1[[#This Row],[Aporte Individual]]*0.35)</f>
        <v>2.758</v>
      </c>
      <c r="D13" s="14">
        <v>7</v>
      </c>
      <c r="E13" s="15">
        <f>Tabla1[[#This Row],[Aporte Grupal]]*0.35</f>
        <v>2.4499999999999997</v>
      </c>
      <c r="F13" s="14">
        <v>9</v>
      </c>
      <c r="G13" s="15">
        <f>Tabla1[[#This Row],[Proyecto]]*0.1</f>
        <v>0.9</v>
      </c>
      <c r="H13" s="14">
        <v>5</v>
      </c>
      <c r="I13" s="15">
        <f>Tabla1[[#This Row],[Examen]]*0.2</f>
        <v>1</v>
      </c>
      <c r="J13" s="16">
        <f>SUM(Tabla1[[#This Row],[35%(Aporte Individual)]],Tabla1[[#This Row],[35%(Aporte Grupal)]],Tabla1[[#This Row],[10%(Proyecto)]],Tabla1[[#This Row],[20%(Examen)]])</f>
        <v>7.1080000000000005</v>
      </c>
      <c r="K13" s="11" t="s">
        <v>3</v>
      </c>
      <c r="L13" s="12" t="s">
        <v>2</v>
      </c>
      <c r="M13" s="13">
        <v>1</v>
      </c>
      <c r="N13" s="27">
        <v>1</v>
      </c>
    </row>
    <row r="14" spans="1:16" s="10" customFormat="1" ht="13.8" x14ac:dyDescent="0.3">
      <c r="A14" s="29" t="s">
        <v>18</v>
      </c>
      <c r="B14" s="14">
        <v>9.5399999999999991</v>
      </c>
      <c r="C14" s="15">
        <f>(Tabla1[[#This Row],[Aporte Individual]]*0.35)</f>
        <v>3.3389999999999995</v>
      </c>
      <c r="D14" s="14">
        <v>10</v>
      </c>
      <c r="E14" s="15">
        <f>Tabla1[[#This Row],[Aporte Grupal]]*0.35</f>
        <v>3.5</v>
      </c>
      <c r="F14" s="14">
        <v>10</v>
      </c>
      <c r="G14" s="15">
        <f>Tabla1[[#This Row],[Proyecto]]*0.1</f>
        <v>1</v>
      </c>
      <c r="H14" s="14">
        <v>4.5</v>
      </c>
      <c r="I14" s="15">
        <f>Tabla1[[#This Row],[Examen]]*0.2</f>
        <v>0.9</v>
      </c>
      <c r="J14" s="16">
        <f>SUM(Tabla1[[#This Row],[35%(Aporte Individual)]],Tabla1[[#This Row],[35%(Aporte Grupal)]],Tabla1[[#This Row],[10%(Proyecto)]],Tabla1[[#This Row],[20%(Examen)]])</f>
        <v>8.738999999999999</v>
      </c>
      <c r="K14" s="11" t="s">
        <v>6</v>
      </c>
      <c r="L14" s="12" t="s">
        <v>2</v>
      </c>
      <c r="M14" s="13">
        <v>0</v>
      </c>
      <c r="N14" s="27">
        <v>0</v>
      </c>
    </row>
    <row r="15" spans="1:16" s="10" customFormat="1" ht="13.8" x14ac:dyDescent="0.3">
      <c r="A15" s="29" t="s">
        <v>15</v>
      </c>
      <c r="B15" s="14">
        <v>6.71</v>
      </c>
      <c r="C15" s="15">
        <f>(Tabla1[[#This Row],[Aporte Individual]]*0.35)</f>
        <v>2.3485</v>
      </c>
      <c r="D15" s="14">
        <v>8</v>
      </c>
      <c r="E15" s="15">
        <f>Tabla1[[#This Row],[Aporte Grupal]]*0.35</f>
        <v>2.8</v>
      </c>
      <c r="F15" s="14">
        <v>10</v>
      </c>
      <c r="G15" s="15">
        <f>Tabla1[[#This Row],[Proyecto]]*0.1</f>
        <v>1</v>
      </c>
      <c r="H15" s="14">
        <v>5.55</v>
      </c>
      <c r="I15" s="15">
        <f>Tabla1[[#This Row],[Examen]]*0.2</f>
        <v>1.1100000000000001</v>
      </c>
      <c r="J15" s="16">
        <f>SUM(Tabla1[[#This Row],[35%(Aporte Individual)]],Tabla1[[#This Row],[35%(Aporte Grupal)]],Tabla1[[#This Row],[10%(Proyecto)]],Tabla1[[#This Row],[20%(Examen)]])</f>
        <v>7.2585000000000006</v>
      </c>
      <c r="K15" s="11" t="s">
        <v>3</v>
      </c>
      <c r="L15" s="12" t="s">
        <v>2</v>
      </c>
      <c r="M15" s="13">
        <v>0</v>
      </c>
      <c r="N15" s="27">
        <v>0</v>
      </c>
    </row>
    <row r="16" spans="1:16" s="10" customFormat="1" ht="13.8" x14ac:dyDescent="0.3">
      <c r="A16" s="29" t="s">
        <v>31</v>
      </c>
      <c r="B16" s="14">
        <v>7.4</v>
      </c>
      <c r="C16" s="15">
        <f>(Tabla1[[#This Row],[Aporte Individual]]*0.35)</f>
        <v>2.59</v>
      </c>
      <c r="D16" s="14">
        <v>7</v>
      </c>
      <c r="E16" s="15">
        <f>Tabla1[[#This Row],[Aporte Grupal]]*0.35</f>
        <v>2.4499999999999997</v>
      </c>
      <c r="F16" s="14">
        <v>10</v>
      </c>
      <c r="G16" s="15">
        <f>Tabla1[[#This Row],[Proyecto]]*0.1</f>
        <v>1</v>
      </c>
      <c r="H16" s="14">
        <v>7</v>
      </c>
      <c r="I16" s="15">
        <f>Tabla1[[#This Row],[Examen]]*0.2</f>
        <v>1.4000000000000001</v>
      </c>
      <c r="J16" s="16">
        <f>SUM(Tabla1[[#This Row],[35%(Aporte Individual)]],Tabla1[[#This Row],[35%(Aporte Grupal)]],Tabla1[[#This Row],[10%(Proyecto)]],Tabla1[[#This Row],[20%(Examen)]])</f>
        <v>7.4399999999999995</v>
      </c>
      <c r="K16" s="11" t="s">
        <v>3</v>
      </c>
      <c r="L16" s="12" t="s">
        <v>2</v>
      </c>
      <c r="M16" s="13">
        <v>0</v>
      </c>
      <c r="N16" s="27">
        <v>0</v>
      </c>
    </row>
    <row r="17" spans="1:14" s="10" customFormat="1" ht="13.8" x14ac:dyDescent="0.3">
      <c r="A17" s="29" t="s">
        <v>17</v>
      </c>
      <c r="B17" s="14">
        <v>7.86</v>
      </c>
      <c r="C17" s="15">
        <f>(Tabla1[[#This Row],[Aporte Individual]]*0.35)</f>
        <v>2.7509999999999999</v>
      </c>
      <c r="D17" s="14">
        <v>8</v>
      </c>
      <c r="E17" s="15">
        <f>Tabla1[[#This Row],[Aporte Grupal]]*0.35</f>
        <v>2.8</v>
      </c>
      <c r="F17" s="14">
        <v>9</v>
      </c>
      <c r="G17" s="15">
        <f>Tabla1[[#This Row],[Proyecto]]*0.1</f>
        <v>0.9</v>
      </c>
      <c r="H17" s="14">
        <v>3</v>
      </c>
      <c r="I17" s="15">
        <f>Tabla1[[#This Row],[Examen]]*0.2</f>
        <v>0.60000000000000009</v>
      </c>
      <c r="J17" s="16">
        <f>SUM(Tabla1[[#This Row],[35%(Aporte Individual)]],Tabla1[[#This Row],[35%(Aporte Grupal)]],Tabla1[[#This Row],[10%(Proyecto)]],Tabla1[[#This Row],[20%(Examen)]])</f>
        <v>7.0510000000000002</v>
      </c>
      <c r="K17" s="11" t="s">
        <v>3</v>
      </c>
      <c r="L17" s="12" t="s">
        <v>4</v>
      </c>
      <c r="M17" s="13">
        <v>0</v>
      </c>
      <c r="N17" s="27">
        <v>0</v>
      </c>
    </row>
    <row r="18" spans="1:14" s="10" customFormat="1" ht="13.8" x14ac:dyDescent="0.3">
      <c r="A18" s="29" t="s">
        <v>37</v>
      </c>
      <c r="B18" s="14">
        <v>7</v>
      </c>
      <c r="C18" s="15">
        <f>(Tabla1[[#This Row],[Aporte Individual]]*0.35)</f>
        <v>2.4499999999999997</v>
      </c>
      <c r="D18" s="14">
        <v>10</v>
      </c>
      <c r="E18" s="15">
        <f>Tabla1[[#This Row],[Aporte Grupal]]*0.35</f>
        <v>3.5</v>
      </c>
      <c r="F18" s="14">
        <v>9</v>
      </c>
      <c r="G18" s="15">
        <f>Tabla1[[#This Row],[Proyecto]]*0.1</f>
        <v>0.9</v>
      </c>
      <c r="H18" s="14">
        <v>7</v>
      </c>
      <c r="I18" s="15">
        <f>Tabla1[[#This Row],[Examen]]*0.2</f>
        <v>1.4000000000000001</v>
      </c>
      <c r="J18" s="16">
        <f>SUM(Tabla1[[#This Row],[35%(Aporte Individual)]],Tabla1[[#This Row],[35%(Aporte Grupal)]],Tabla1[[#This Row],[10%(Proyecto)]],Tabla1[[#This Row],[20%(Examen)]])</f>
        <v>8.25</v>
      </c>
      <c r="K18" s="11" t="s">
        <v>6</v>
      </c>
      <c r="L18" s="12" t="s">
        <v>2</v>
      </c>
      <c r="M18" s="13">
        <v>0</v>
      </c>
      <c r="N18" s="27">
        <v>0</v>
      </c>
    </row>
    <row r="19" spans="1:14" s="10" customFormat="1" ht="13.8" x14ac:dyDescent="0.3">
      <c r="A19" s="29" t="s">
        <v>27</v>
      </c>
      <c r="B19" s="14">
        <v>4</v>
      </c>
      <c r="C19" s="15">
        <f>(Tabla1[[#This Row],[Aporte Individual]]*0.35)</f>
        <v>1.4</v>
      </c>
      <c r="D19" s="14">
        <v>6</v>
      </c>
      <c r="E19" s="15">
        <f>Tabla1[[#This Row],[Aporte Grupal]]*0.35</f>
        <v>2.0999999999999996</v>
      </c>
      <c r="F19" s="14">
        <v>5</v>
      </c>
      <c r="G19" s="15">
        <f>Tabla1[[#This Row],[Proyecto]]*0.1</f>
        <v>0.5</v>
      </c>
      <c r="H19" s="14">
        <v>5</v>
      </c>
      <c r="I19" s="15">
        <f>Tabla1[[#This Row],[Examen]]*0.2</f>
        <v>1</v>
      </c>
      <c r="J19" s="16">
        <f>SUM(Tabla1[[#This Row],[35%(Aporte Individual)]],Tabla1[[#This Row],[35%(Aporte Grupal)]],Tabla1[[#This Row],[10%(Proyecto)]],Tabla1[[#This Row],[20%(Examen)]])</f>
        <v>5</v>
      </c>
      <c r="K19" s="11" t="s">
        <v>38</v>
      </c>
      <c r="L19" s="12" t="s">
        <v>2</v>
      </c>
      <c r="M19" s="13">
        <v>1</v>
      </c>
      <c r="N19" s="27">
        <v>0</v>
      </c>
    </row>
    <row r="20" spans="1:14" s="10" customFormat="1" ht="13.8" x14ac:dyDescent="0.3">
      <c r="A20" s="29" t="s">
        <v>16</v>
      </c>
      <c r="B20" s="14">
        <v>7.57</v>
      </c>
      <c r="C20" s="15">
        <f>(Tabla1[[#This Row],[Aporte Individual]]*0.35)</f>
        <v>2.6494999999999997</v>
      </c>
      <c r="D20" s="14">
        <v>6.5</v>
      </c>
      <c r="E20" s="15">
        <f>Tabla1[[#This Row],[Aporte Grupal]]*0.35</f>
        <v>2.2749999999999999</v>
      </c>
      <c r="F20" s="14">
        <v>10</v>
      </c>
      <c r="G20" s="15">
        <f>Tabla1[[#This Row],[Proyecto]]*0.1</f>
        <v>1</v>
      </c>
      <c r="H20" s="14">
        <v>7.5</v>
      </c>
      <c r="I20" s="15">
        <f>Tabla1[[#This Row],[Examen]]*0.2</f>
        <v>1.5</v>
      </c>
      <c r="J20" s="16">
        <f>SUM(Tabla1[[#This Row],[35%(Aporte Individual)]],Tabla1[[#This Row],[35%(Aporte Grupal)]],Tabla1[[#This Row],[10%(Proyecto)]],Tabla1[[#This Row],[20%(Examen)]])</f>
        <v>7.4245000000000001</v>
      </c>
      <c r="K20" s="11" t="s">
        <v>3</v>
      </c>
      <c r="L20" s="12" t="s">
        <v>2</v>
      </c>
      <c r="M20" s="13">
        <v>0</v>
      </c>
      <c r="N20" s="27">
        <v>0</v>
      </c>
    </row>
    <row r="21" spans="1:14" s="10" customFormat="1" ht="13.8" x14ac:dyDescent="0.3">
      <c r="A21" s="29" t="s">
        <v>19</v>
      </c>
      <c r="B21" s="14">
        <v>7.86</v>
      </c>
      <c r="C21" s="15">
        <f>(Tabla1[[#This Row],[Aporte Individual]]*0.35)</f>
        <v>2.7509999999999999</v>
      </c>
      <c r="D21" s="14">
        <v>7</v>
      </c>
      <c r="E21" s="15">
        <f>Tabla1[[#This Row],[Aporte Grupal]]*0.35</f>
        <v>2.4499999999999997</v>
      </c>
      <c r="F21" s="14">
        <v>9</v>
      </c>
      <c r="G21" s="15">
        <f>Tabla1[[#This Row],[Proyecto]]*0.1</f>
        <v>0.9</v>
      </c>
      <c r="H21" s="14">
        <v>9</v>
      </c>
      <c r="I21" s="15">
        <f>Tabla1[[#This Row],[Examen]]*0.2</f>
        <v>1.8</v>
      </c>
      <c r="J21" s="16">
        <f>SUM(Tabla1[[#This Row],[35%(Aporte Individual)]],Tabla1[[#This Row],[35%(Aporte Grupal)]],Tabla1[[#This Row],[10%(Proyecto)]],Tabla1[[#This Row],[20%(Examen)]])</f>
        <v>7.9009999999999998</v>
      </c>
      <c r="K21" s="11" t="s">
        <v>3</v>
      </c>
      <c r="L21" s="12" t="s">
        <v>4</v>
      </c>
      <c r="M21" s="13">
        <v>0</v>
      </c>
      <c r="N21" s="27">
        <v>0</v>
      </c>
    </row>
    <row r="22" spans="1:14" s="10" customFormat="1" ht="13.8" x14ac:dyDescent="0.3">
      <c r="A22" s="29" t="s">
        <v>28</v>
      </c>
      <c r="B22" s="14">
        <v>8.86</v>
      </c>
      <c r="C22" s="15">
        <f>(Tabla1[[#This Row],[Aporte Individual]]*0.35)</f>
        <v>3.1009999999999995</v>
      </c>
      <c r="D22" s="14">
        <v>6</v>
      </c>
      <c r="E22" s="15">
        <f>Tabla1[[#This Row],[Aporte Grupal]]*0.35</f>
        <v>2.0999999999999996</v>
      </c>
      <c r="F22" s="14">
        <v>10</v>
      </c>
      <c r="G22" s="15">
        <f>Tabla1[[#This Row],[Proyecto]]*0.1</f>
        <v>1</v>
      </c>
      <c r="H22" s="14">
        <v>7</v>
      </c>
      <c r="I22" s="15">
        <f>Tabla1[[#This Row],[Examen]]*0.2</f>
        <v>1.4000000000000001</v>
      </c>
      <c r="J22" s="16">
        <f>SUM(Tabla1[[#This Row],[35%(Aporte Individual)]],Tabla1[[#This Row],[35%(Aporte Grupal)]],Tabla1[[#This Row],[10%(Proyecto)]],Tabla1[[#This Row],[20%(Examen)]])</f>
        <v>7.6009999999999991</v>
      </c>
      <c r="K22" s="11" t="s">
        <v>3</v>
      </c>
      <c r="L22" s="12" t="s">
        <v>2</v>
      </c>
      <c r="M22" s="13">
        <v>0</v>
      </c>
      <c r="N22" s="27">
        <v>0</v>
      </c>
    </row>
    <row r="23" spans="1:14" s="10" customFormat="1" ht="13.8" x14ac:dyDescent="0.3">
      <c r="A23" s="29" t="s">
        <v>22</v>
      </c>
      <c r="B23" s="14">
        <v>8.7100000000000009</v>
      </c>
      <c r="C23" s="15">
        <f>(Tabla1[[#This Row],[Aporte Individual]]*0.35)</f>
        <v>3.0485000000000002</v>
      </c>
      <c r="D23" s="14">
        <v>5.5</v>
      </c>
      <c r="E23" s="15">
        <f>Tabla1[[#This Row],[Aporte Grupal]]*0.35</f>
        <v>1.9249999999999998</v>
      </c>
      <c r="F23" s="14">
        <v>10</v>
      </c>
      <c r="G23" s="15">
        <f>Tabla1[[#This Row],[Proyecto]]*0.1</f>
        <v>1</v>
      </c>
      <c r="H23" s="14">
        <v>7.5</v>
      </c>
      <c r="I23" s="15">
        <f>Tabla1[[#This Row],[Examen]]*0.2</f>
        <v>1.5</v>
      </c>
      <c r="J23" s="16">
        <f>SUM(Tabla1[[#This Row],[35%(Aporte Individual)]],Tabla1[[#This Row],[35%(Aporte Grupal)]],Tabla1[[#This Row],[10%(Proyecto)]],Tabla1[[#This Row],[20%(Examen)]])</f>
        <v>7.4734999999999996</v>
      </c>
      <c r="K23" s="11" t="s">
        <v>3</v>
      </c>
      <c r="L23" s="12" t="s">
        <v>2</v>
      </c>
      <c r="M23" s="13">
        <v>0</v>
      </c>
      <c r="N23" s="27">
        <v>0</v>
      </c>
    </row>
    <row r="24" spans="1:14" s="10" customFormat="1" ht="13.8" x14ac:dyDescent="0.3">
      <c r="A24" s="29" t="s">
        <v>32</v>
      </c>
      <c r="B24" s="14">
        <v>8.11</v>
      </c>
      <c r="C24" s="15">
        <f>(Tabla1[[#This Row],[Aporte Individual]]*0.35)</f>
        <v>2.8384999999999998</v>
      </c>
      <c r="D24" s="14">
        <v>8</v>
      </c>
      <c r="E24" s="15">
        <f>Tabla1[[#This Row],[Aporte Grupal]]*0.35</f>
        <v>2.8</v>
      </c>
      <c r="F24" s="14">
        <v>9</v>
      </c>
      <c r="G24" s="15">
        <f>Tabla1[[#This Row],[Proyecto]]*0.1</f>
        <v>0.9</v>
      </c>
      <c r="H24" s="14">
        <v>3.5</v>
      </c>
      <c r="I24" s="15">
        <f>Tabla1[[#This Row],[Examen]]*0.2</f>
        <v>0.70000000000000007</v>
      </c>
      <c r="J24" s="16">
        <f>SUM(Tabla1[[#This Row],[35%(Aporte Individual)]],Tabla1[[#This Row],[35%(Aporte Grupal)]],Tabla1[[#This Row],[10%(Proyecto)]],Tabla1[[#This Row],[20%(Examen)]])</f>
        <v>7.2385000000000002</v>
      </c>
      <c r="K24" s="17" t="s">
        <v>3</v>
      </c>
      <c r="L24" s="18" t="s">
        <v>4</v>
      </c>
      <c r="M24" s="19">
        <v>0</v>
      </c>
      <c r="N24" s="28">
        <v>0</v>
      </c>
    </row>
    <row r="25" spans="1:14" s="10" customFormat="1" ht="13.8" x14ac:dyDescent="0.3">
      <c r="B25" s="20"/>
      <c r="C25" s="21"/>
      <c r="D25" s="20"/>
      <c r="E25" s="21"/>
      <c r="F25" s="20"/>
      <c r="G25" s="21"/>
      <c r="H25" s="20"/>
      <c r="I25" s="21"/>
      <c r="J25" s="22"/>
      <c r="K25" s="23"/>
      <c r="L25" s="24"/>
      <c r="M25" s="25"/>
      <c r="N25" s="25"/>
    </row>
    <row r="26" spans="1:14" s="10" customFormat="1" ht="13.8" x14ac:dyDescent="0.3">
      <c r="B26" s="20"/>
      <c r="C26" s="21"/>
      <c r="D26" s="20"/>
      <c r="E26" s="21"/>
      <c r="F26" s="20"/>
      <c r="G26" s="21"/>
      <c r="H26" s="20"/>
      <c r="I26" s="21"/>
      <c r="J26" s="22"/>
      <c r="K26" s="23"/>
      <c r="L26" s="24"/>
      <c r="M26" s="25"/>
      <c r="N26" s="25"/>
    </row>
    <row r="27" spans="1:14" s="10" customFormat="1" ht="13.8" x14ac:dyDescent="0.3">
      <c r="B27" s="20"/>
      <c r="C27" s="21"/>
      <c r="D27" s="20"/>
      <c r="E27" s="21"/>
      <c r="F27" s="20"/>
      <c r="G27" s="21"/>
      <c r="H27" s="20"/>
      <c r="I27" s="21"/>
      <c r="J27" s="22"/>
      <c r="K27" s="23"/>
      <c r="L27" s="24"/>
      <c r="M27" s="25"/>
      <c r="N27" s="25"/>
    </row>
    <row r="28" spans="1:14" s="10" customFormat="1" ht="13.8" x14ac:dyDescent="0.3">
      <c r="B28" s="20"/>
      <c r="C28" s="21"/>
      <c r="D28" s="20"/>
      <c r="E28" s="21"/>
      <c r="F28" s="20"/>
      <c r="G28" s="21"/>
      <c r="H28" s="20"/>
      <c r="I28" s="21"/>
      <c r="J28" s="22"/>
      <c r="K28" s="23"/>
      <c r="L28" s="24"/>
      <c r="M28" s="25"/>
      <c r="N28" s="25"/>
    </row>
    <row r="29" spans="1:14" s="10" customFormat="1" ht="13.8" x14ac:dyDescent="0.3">
      <c r="B29" s="20"/>
      <c r="C29" s="21"/>
      <c r="D29" s="20"/>
      <c r="E29" s="21"/>
      <c r="F29" s="20"/>
      <c r="G29" s="21"/>
      <c r="H29" s="20"/>
      <c r="I29" s="21"/>
      <c r="J29" s="22"/>
      <c r="K29" s="23"/>
      <c r="L29" s="24"/>
      <c r="M29" s="25"/>
      <c r="N29" s="25"/>
    </row>
    <row r="30" spans="1:14" s="10" customFormat="1" ht="13.8" x14ac:dyDescent="0.3">
      <c r="B30" s="20"/>
      <c r="C30" s="21"/>
      <c r="D30" s="20"/>
      <c r="E30" s="21"/>
      <c r="F30" s="20"/>
      <c r="G30" s="21"/>
      <c r="H30" s="20"/>
      <c r="I30" s="21"/>
      <c r="J30" s="22"/>
      <c r="K30" s="23"/>
      <c r="L30" s="24"/>
      <c r="M30" s="25"/>
      <c r="N30" s="25"/>
    </row>
    <row r="31" spans="1:14" s="10" customFormat="1" ht="13.8" x14ac:dyDescent="0.3">
      <c r="B31" s="20"/>
      <c r="C31" s="21"/>
      <c r="D31" s="20"/>
      <c r="E31" s="21"/>
      <c r="F31" s="20"/>
      <c r="G31" s="21"/>
      <c r="H31" s="20"/>
      <c r="I31" s="21"/>
      <c r="J31" s="22"/>
      <c r="K31" s="23"/>
      <c r="L31" s="24"/>
      <c r="M31" s="25"/>
      <c r="N31" s="25"/>
    </row>
    <row r="32" spans="1:14" s="10" customFormat="1" ht="13.8" x14ac:dyDescent="0.3">
      <c r="B32" s="20"/>
      <c r="C32" s="21"/>
      <c r="D32" s="20"/>
      <c r="E32" s="21"/>
      <c r="F32" s="20"/>
      <c r="G32" s="21"/>
      <c r="H32" s="20"/>
      <c r="I32" s="21"/>
      <c r="J32" s="22"/>
      <c r="K32" s="23"/>
      <c r="L32" s="24"/>
      <c r="M32" s="25"/>
      <c r="N32" s="25"/>
    </row>
    <row r="33" spans="2:14" s="10" customFormat="1" ht="13.8" x14ac:dyDescent="0.3">
      <c r="B33" s="20"/>
      <c r="C33" s="21"/>
      <c r="D33" s="20"/>
      <c r="E33" s="21"/>
      <c r="F33" s="20"/>
      <c r="G33" s="21"/>
      <c r="H33" s="20"/>
      <c r="I33" s="21"/>
      <c r="J33" s="22"/>
      <c r="K33" s="23"/>
      <c r="L33" s="24"/>
      <c r="M33" s="25"/>
      <c r="N33" s="25"/>
    </row>
    <row r="34" spans="2:14" s="10" customFormat="1" ht="13.8" x14ac:dyDescent="0.3">
      <c r="B34" s="20"/>
      <c r="C34" s="21"/>
      <c r="D34" s="20"/>
      <c r="E34" s="21"/>
      <c r="F34" s="20"/>
      <c r="G34" s="21"/>
      <c r="H34" s="20"/>
      <c r="I34" s="21"/>
      <c r="J34" s="22"/>
      <c r="K34" s="23"/>
      <c r="L34" s="24"/>
      <c r="M34" s="25"/>
      <c r="N34" s="25"/>
    </row>
    <row r="35" spans="2:14" s="10" customFormat="1" ht="13.8" x14ac:dyDescent="0.3">
      <c r="B35" s="20"/>
      <c r="C35" s="21"/>
      <c r="D35" s="20"/>
      <c r="E35" s="21"/>
      <c r="F35" s="20"/>
      <c r="G35" s="21"/>
      <c r="H35" s="20"/>
      <c r="I35" s="21"/>
      <c r="J35" s="22"/>
      <c r="K35" s="23"/>
      <c r="L35" s="24"/>
      <c r="M35" s="25"/>
      <c r="N35" s="25"/>
    </row>
    <row r="36" spans="2:14" s="10" customFormat="1" ht="13.8" x14ac:dyDescent="0.3">
      <c r="B36" s="20"/>
      <c r="C36" s="21"/>
      <c r="D36" s="20"/>
      <c r="E36" s="21"/>
      <c r="F36" s="20"/>
      <c r="G36" s="21"/>
      <c r="H36" s="20"/>
      <c r="I36" s="21"/>
      <c r="J36" s="22"/>
      <c r="K36" s="23"/>
      <c r="L36" s="24"/>
      <c r="M36" s="25"/>
      <c r="N36" s="25"/>
    </row>
    <row r="37" spans="2:14" s="10" customFormat="1" ht="13.8" x14ac:dyDescent="0.3">
      <c r="B37" s="20"/>
      <c r="C37" s="21"/>
      <c r="D37" s="20"/>
      <c r="E37" s="21"/>
      <c r="F37" s="20"/>
      <c r="G37" s="21"/>
      <c r="H37" s="20"/>
      <c r="I37" s="21"/>
      <c r="J37" s="22"/>
      <c r="K37" s="23"/>
      <c r="L37" s="24"/>
      <c r="M37" s="25"/>
      <c r="N37" s="25"/>
    </row>
    <row r="38" spans="2:14" s="10" customFormat="1" ht="13.8" x14ac:dyDescent="0.3">
      <c r="B38" s="20"/>
      <c r="C38" s="21"/>
      <c r="D38" s="20"/>
      <c r="E38" s="21"/>
      <c r="F38" s="20"/>
      <c r="G38" s="21"/>
      <c r="H38" s="20"/>
      <c r="I38" s="21"/>
      <c r="J38" s="22"/>
      <c r="K38" s="23"/>
      <c r="L38" s="24"/>
      <c r="M38" s="25"/>
      <c r="N38" s="25"/>
    </row>
    <row r="39" spans="2:14" s="10" customFormat="1" ht="13.8" x14ac:dyDescent="0.3">
      <c r="B39" s="20"/>
      <c r="C39" s="21"/>
      <c r="D39" s="20"/>
      <c r="E39" s="21"/>
      <c r="F39" s="20"/>
      <c r="G39" s="21"/>
      <c r="H39" s="20"/>
      <c r="I39" s="21"/>
      <c r="J39" s="22"/>
      <c r="K39" s="23"/>
      <c r="L39" s="24"/>
      <c r="M39" s="25"/>
      <c r="N39" s="25"/>
    </row>
    <row r="40" spans="2:14" s="10" customFormat="1" ht="13.8" x14ac:dyDescent="0.3">
      <c r="B40" s="20"/>
      <c r="C40" s="21"/>
      <c r="D40" s="20"/>
      <c r="E40" s="21"/>
      <c r="F40" s="20"/>
      <c r="G40" s="21"/>
      <c r="H40" s="20"/>
      <c r="I40" s="21"/>
      <c r="J40" s="22"/>
      <c r="K40" s="23"/>
      <c r="L40" s="24"/>
      <c r="M40" s="25"/>
      <c r="N40" s="25"/>
    </row>
    <row r="41" spans="2:14" s="10" customFormat="1" ht="13.8" x14ac:dyDescent="0.3">
      <c r="B41" s="20"/>
      <c r="C41" s="21"/>
      <c r="D41" s="20"/>
      <c r="E41" s="21"/>
      <c r="F41" s="20"/>
      <c r="G41" s="21"/>
      <c r="H41" s="20"/>
      <c r="I41" s="21"/>
      <c r="J41" s="22"/>
      <c r="K41" s="23"/>
      <c r="L41" s="24"/>
      <c r="M41" s="25"/>
      <c r="N41" s="25"/>
    </row>
    <row r="42" spans="2:14" s="10" customFormat="1" ht="13.8" x14ac:dyDescent="0.3">
      <c r="B42" s="20"/>
      <c r="C42" s="21"/>
      <c r="D42" s="20"/>
      <c r="E42" s="21"/>
      <c r="F42" s="20"/>
      <c r="G42" s="21"/>
      <c r="H42" s="20"/>
      <c r="I42" s="21"/>
      <c r="J42" s="22"/>
      <c r="K42" s="23"/>
      <c r="L42" s="24"/>
      <c r="M42" s="25"/>
      <c r="N42" s="25"/>
    </row>
    <row r="43" spans="2:14" s="10" customFormat="1" ht="13.8" x14ac:dyDescent="0.3">
      <c r="B43" s="20"/>
      <c r="C43" s="21"/>
      <c r="D43" s="20"/>
      <c r="E43" s="21"/>
      <c r="F43" s="20"/>
      <c r="G43" s="21"/>
      <c r="H43" s="20"/>
      <c r="I43" s="21"/>
      <c r="J43" s="22"/>
      <c r="K43" s="23"/>
      <c r="L43" s="24"/>
      <c r="M43" s="25"/>
      <c r="N43" s="25"/>
    </row>
    <row r="44" spans="2:14" s="10" customFormat="1" ht="13.8" x14ac:dyDescent="0.3">
      <c r="B44" s="20"/>
      <c r="C44" s="21"/>
      <c r="D44" s="20"/>
      <c r="E44" s="21"/>
      <c r="F44" s="20"/>
      <c r="G44" s="21"/>
      <c r="H44" s="20"/>
      <c r="I44" s="21"/>
      <c r="J44" s="22"/>
      <c r="K44" s="23"/>
      <c r="L44" s="24"/>
      <c r="M44" s="25"/>
      <c r="N44" s="25"/>
    </row>
    <row r="45" spans="2:14" s="10" customFormat="1" ht="13.8" x14ac:dyDescent="0.3">
      <c r="B45" s="20"/>
      <c r="C45" s="21"/>
      <c r="D45" s="20"/>
      <c r="E45" s="21"/>
      <c r="F45" s="20"/>
      <c r="G45" s="21"/>
      <c r="H45" s="20"/>
      <c r="I45" s="21"/>
      <c r="J45" s="22"/>
      <c r="K45" s="23"/>
      <c r="L45" s="24"/>
      <c r="M45" s="25"/>
      <c r="N45" s="25"/>
    </row>
    <row r="46" spans="2:14" s="10" customFormat="1" ht="13.8" x14ac:dyDescent="0.3">
      <c r="B46" s="20"/>
      <c r="C46" s="21"/>
      <c r="D46" s="20"/>
      <c r="E46" s="21"/>
      <c r="F46" s="20"/>
      <c r="G46" s="21"/>
      <c r="H46" s="20"/>
      <c r="I46" s="21"/>
      <c r="J46" s="22"/>
      <c r="K46" s="23"/>
      <c r="L46" s="24"/>
      <c r="M46" s="25"/>
      <c r="N46" s="25"/>
    </row>
    <row r="47" spans="2:14" s="10" customFormat="1" ht="13.8" x14ac:dyDescent="0.3">
      <c r="B47" s="20"/>
      <c r="C47" s="21"/>
      <c r="D47" s="20"/>
      <c r="E47" s="21"/>
      <c r="F47" s="20"/>
      <c r="G47" s="21"/>
      <c r="H47" s="20"/>
      <c r="I47" s="21"/>
      <c r="J47" s="22"/>
      <c r="K47" s="23"/>
      <c r="L47" s="24"/>
      <c r="M47" s="25"/>
      <c r="N47" s="25"/>
    </row>
    <row r="48" spans="2:14" s="10" customFormat="1" ht="13.8" x14ac:dyDescent="0.3">
      <c r="B48" s="20"/>
      <c r="C48" s="21"/>
      <c r="D48" s="20"/>
      <c r="E48" s="21"/>
      <c r="F48" s="20"/>
      <c r="G48" s="21"/>
      <c r="H48" s="20"/>
      <c r="I48" s="21"/>
      <c r="J48" s="22"/>
      <c r="K48" s="23"/>
      <c r="L48" s="24"/>
      <c r="M48" s="25"/>
      <c r="N48" s="25"/>
    </row>
    <row r="49" spans="2:14" s="10" customFormat="1" ht="13.8" x14ac:dyDescent="0.3">
      <c r="B49" s="20"/>
      <c r="C49" s="21"/>
      <c r="D49" s="20"/>
      <c r="E49" s="21"/>
      <c r="F49" s="20"/>
      <c r="G49" s="21"/>
      <c r="H49" s="20"/>
      <c r="I49" s="21"/>
      <c r="J49" s="22"/>
      <c r="K49" s="23"/>
      <c r="L49" s="24"/>
      <c r="M49" s="25"/>
      <c r="N49" s="25"/>
    </row>
    <row r="50" spans="2:14" s="10" customFormat="1" ht="13.8" x14ac:dyDescent="0.3">
      <c r="B50" s="20"/>
      <c r="C50" s="21"/>
      <c r="D50" s="20"/>
      <c r="E50" s="21"/>
      <c r="F50" s="20"/>
      <c r="G50" s="21"/>
      <c r="H50" s="20"/>
      <c r="I50" s="21"/>
      <c r="J50" s="22"/>
      <c r="K50" s="23"/>
      <c r="L50" s="24"/>
      <c r="M50" s="25"/>
      <c r="N50" s="25"/>
    </row>
    <row r="51" spans="2:14" s="10" customFormat="1" ht="13.8" x14ac:dyDescent="0.3">
      <c r="B51" s="20"/>
      <c r="C51" s="21"/>
      <c r="D51" s="20"/>
      <c r="E51" s="21"/>
      <c r="F51" s="20"/>
      <c r="G51" s="21"/>
      <c r="H51" s="20"/>
      <c r="I51" s="21"/>
      <c r="J51" s="22"/>
      <c r="K51" s="23"/>
      <c r="L51" s="24"/>
      <c r="M51" s="25"/>
      <c r="N51" s="25"/>
    </row>
    <row r="52" spans="2:14" s="10" customFormat="1" ht="13.8" x14ac:dyDescent="0.3">
      <c r="B52" s="20"/>
      <c r="C52" s="21"/>
      <c r="D52" s="20"/>
      <c r="E52" s="21"/>
      <c r="F52" s="20"/>
      <c r="G52" s="21"/>
      <c r="H52" s="20"/>
      <c r="I52" s="21"/>
      <c r="J52" s="22"/>
      <c r="K52" s="23"/>
      <c r="L52" s="24"/>
      <c r="M52" s="25"/>
      <c r="N52" s="25"/>
    </row>
    <row r="53" spans="2:14" s="10" customFormat="1" ht="13.8" x14ac:dyDescent="0.3">
      <c r="B53" s="20"/>
      <c r="C53" s="21"/>
      <c r="D53" s="20"/>
      <c r="E53" s="21"/>
      <c r="F53" s="20"/>
      <c r="G53" s="21"/>
      <c r="H53" s="20"/>
      <c r="I53" s="21"/>
      <c r="J53" s="22"/>
      <c r="K53" s="23"/>
      <c r="L53" s="24"/>
      <c r="M53" s="25"/>
      <c r="N53" s="25"/>
    </row>
    <row r="54" spans="2:14" s="10" customFormat="1" ht="13.8" x14ac:dyDescent="0.3">
      <c r="B54" s="20"/>
      <c r="C54" s="21"/>
      <c r="D54" s="20"/>
      <c r="E54" s="21"/>
      <c r="F54" s="20"/>
      <c r="G54" s="21"/>
      <c r="H54" s="20"/>
      <c r="I54" s="21"/>
      <c r="J54" s="22"/>
      <c r="K54" s="23"/>
      <c r="L54" s="24"/>
      <c r="M54" s="25"/>
      <c r="N54" s="25"/>
    </row>
    <row r="55" spans="2:14" s="10" customFormat="1" ht="13.8" x14ac:dyDescent="0.3">
      <c r="B55" s="20"/>
      <c r="C55" s="21"/>
      <c r="D55" s="20"/>
      <c r="E55" s="21"/>
      <c r="F55" s="20"/>
      <c r="G55" s="21"/>
      <c r="H55" s="20"/>
      <c r="I55" s="21"/>
      <c r="J55" s="22"/>
      <c r="K55" s="23"/>
      <c r="L55" s="24"/>
      <c r="M55" s="25"/>
      <c r="N55" s="25"/>
    </row>
    <row r="56" spans="2:14" s="10" customFormat="1" ht="13.8" x14ac:dyDescent="0.3">
      <c r="B56" s="20"/>
      <c r="C56" s="21"/>
      <c r="D56" s="20"/>
      <c r="E56" s="21"/>
      <c r="F56" s="20"/>
      <c r="G56" s="21"/>
      <c r="H56" s="20"/>
      <c r="I56" s="21"/>
      <c r="J56" s="22"/>
      <c r="K56" s="23"/>
      <c r="L56" s="24"/>
      <c r="M56" s="25"/>
      <c r="N56" s="25"/>
    </row>
    <row r="57" spans="2:14" s="10" customFormat="1" ht="13.8" x14ac:dyDescent="0.3">
      <c r="B57" s="20"/>
      <c r="C57" s="21"/>
      <c r="D57" s="20"/>
      <c r="E57" s="21"/>
      <c r="F57" s="20"/>
      <c r="G57" s="21"/>
      <c r="H57" s="20"/>
      <c r="I57" s="21"/>
      <c r="J57" s="22"/>
      <c r="K57" s="23"/>
      <c r="L57" s="24"/>
      <c r="M57" s="25"/>
      <c r="N57" s="25"/>
    </row>
    <row r="58" spans="2:14" s="10" customFormat="1" ht="13.8" x14ac:dyDescent="0.3">
      <c r="B58" s="20"/>
      <c r="C58" s="21"/>
      <c r="D58" s="20"/>
      <c r="E58" s="21"/>
      <c r="F58" s="20"/>
      <c r="G58" s="21"/>
      <c r="H58" s="20"/>
      <c r="I58" s="21"/>
      <c r="J58" s="22"/>
      <c r="K58" s="23"/>
      <c r="L58" s="24"/>
      <c r="M58" s="25"/>
      <c r="N58" s="25"/>
    </row>
    <row r="59" spans="2:14" s="10" customFormat="1" ht="13.8" x14ac:dyDescent="0.3">
      <c r="B59" s="20"/>
      <c r="C59" s="21"/>
      <c r="D59" s="20"/>
      <c r="E59" s="21"/>
      <c r="F59" s="20"/>
      <c r="G59" s="21"/>
      <c r="H59" s="20"/>
      <c r="I59" s="21"/>
      <c r="J59" s="22"/>
      <c r="K59" s="23"/>
      <c r="L59" s="24"/>
      <c r="M59" s="25"/>
      <c r="N59" s="25"/>
    </row>
    <row r="60" spans="2:14" s="10" customFormat="1" ht="13.8" x14ac:dyDescent="0.3">
      <c r="B60" s="20"/>
      <c r="C60" s="21"/>
      <c r="D60" s="20"/>
      <c r="E60" s="21"/>
      <c r="F60" s="20"/>
      <c r="G60" s="21"/>
      <c r="H60" s="20"/>
      <c r="I60" s="21"/>
      <c r="J60" s="22"/>
      <c r="K60" s="23"/>
      <c r="L60" s="24"/>
      <c r="M60" s="25"/>
      <c r="N60" s="25"/>
    </row>
    <row r="61" spans="2:14" s="10" customFormat="1" ht="13.8" x14ac:dyDescent="0.3">
      <c r="B61" s="20"/>
      <c r="C61" s="21"/>
      <c r="D61" s="20"/>
      <c r="E61" s="21"/>
      <c r="F61" s="20"/>
      <c r="G61" s="21"/>
      <c r="H61" s="20"/>
      <c r="I61" s="21"/>
      <c r="J61" s="22"/>
      <c r="K61" s="23"/>
      <c r="L61" s="24"/>
      <c r="M61" s="25"/>
      <c r="N61" s="25"/>
    </row>
    <row r="62" spans="2:14" s="10" customFormat="1" ht="13.8" x14ac:dyDescent="0.3">
      <c r="B62" s="20"/>
      <c r="C62" s="21"/>
      <c r="D62" s="20"/>
      <c r="E62" s="21"/>
      <c r="F62" s="20"/>
      <c r="G62" s="21"/>
      <c r="H62" s="20"/>
      <c r="I62" s="21"/>
      <c r="J62" s="22"/>
      <c r="K62" s="23"/>
      <c r="L62" s="24"/>
      <c r="M62" s="25"/>
      <c r="N62" s="25"/>
    </row>
    <row r="63" spans="2:14" s="10" customFormat="1" ht="13.8" x14ac:dyDescent="0.3">
      <c r="B63" s="20"/>
      <c r="C63" s="21"/>
      <c r="D63" s="20"/>
      <c r="E63" s="21"/>
      <c r="F63" s="20"/>
      <c r="G63" s="21"/>
      <c r="H63" s="20"/>
      <c r="I63" s="21"/>
      <c r="J63" s="22"/>
      <c r="K63" s="23"/>
      <c r="L63" s="24"/>
      <c r="M63" s="25"/>
      <c r="N63" s="25"/>
    </row>
    <row r="64" spans="2:14" s="10" customFormat="1" ht="13.8" x14ac:dyDescent="0.3">
      <c r="B64" s="20"/>
      <c r="C64" s="21"/>
      <c r="D64" s="20"/>
      <c r="E64" s="21"/>
      <c r="F64" s="20"/>
      <c r="G64" s="21"/>
      <c r="H64" s="20"/>
      <c r="I64" s="21"/>
      <c r="J64" s="22"/>
      <c r="K64" s="23"/>
      <c r="L64" s="24"/>
      <c r="M64" s="25"/>
      <c r="N64" s="25"/>
    </row>
    <row r="65" spans="2:14" s="10" customFormat="1" ht="13.8" x14ac:dyDescent="0.3">
      <c r="B65" s="20"/>
      <c r="C65" s="21"/>
      <c r="D65" s="20"/>
      <c r="E65" s="21"/>
      <c r="F65" s="20"/>
      <c r="G65" s="21"/>
      <c r="H65" s="20"/>
      <c r="I65" s="21"/>
      <c r="J65" s="22"/>
      <c r="K65" s="23"/>
      <c r="L65" s="24"/>
      <c r="M65" s="25"/>
      <c r="N65" s="25"/>
    </row>
    <row r="66" spans="2:14" s="10" customFormat="1" ht="13.8" x14ac:dyDescent="0.3">
      <c r="B66" s="20"/>
      <c r="C66" s="21"/>
      <c r="D66" s="20"/>
      <c r="E66" s="21"/>
      <c r="F66" s="20"/>
      <c r="G66" s="21"/>
      <c r="H66" s="20"/>
      <c r="I66" s="21"/>
      <c r="J66" s="22"/>
      <c r="K66" s="23"/>
      <c r="L66" s="24"/>
      <c r="M66" s="25"/>
      <c r="N66" s="25"/>
    </row>
    <row r="67" spans="2:14" s="10" customFormat="1" ht="13.8" x14ac:dyDescent="0.3">
      <c r="B67" s="20"/>
      <c r="C67" s="21"/>
      <c r="D67" s="20"/>
      <c r="E67" s="21"/>
      <c r="F67" s="20"/>
      <c r="G67" s="21"/>
      <c r="H67" s="20"/>
      <c r="I67" s="21"/>
      <c r="J67" s="22"/>
      <c r="K67" s="23"/>
      <c r="L67" s="24"/>
      <c r="M67" s="25"/>
      <c r="N67" s="25"/>
    </row>
    <row r="68" spans="2:14" s="10" customFormat="1" ht="13.8" x14ac:dyDescent="0.3">
      <c r="B68" s="20"/>
      <c r="C68" s="21"/>
      <c r="D68" s="20"/>
      <c r="E68" s="21"/>
      <c r="F68" s="20"/>
      <c r="G68" s="21"/>
      <c r="H68" s="20"/>
      <c r="I68" s="21"/>
      <c r="J68" s="22"/>
      <c r="K68" s="23"/>
      <c r="L68" s="24"/>
      <c r="M68" s="25"/>
      <c r="N68" s="25"/>
    </row>
    <row r="69" spans="2:14" s="10" customFormat="1" ht="13.8" x14ac:dyDescent="0.3">
      <c r="B69" s="20"/>
      <c r="C69" s="21"/>
      <c r="D69" s="20"/>
      <c r="E69" s="21"/>
      <c r="F69" s="20"/>
      <c r="G69" s="21"/>
      <c r="H69" s="20"/>
      <c r="I69" s="21"/>
      <c r="J69" s="22"/>
      <c r="K69" s="23"/>
      <c r="L69" s="24"/>
      <c r="M69" s="25"/>
      <c r="N69" s="25"/>
    </row>
    <row r="70" spans="2:14" s="10" customFormat="1" ht="13.8" x14ac:dyDescent="0.3">
      <c r="B70" s="20"/>
      <c r="C70" s="21"/>
      <c r="D70" s="20"/>
      <c r="E70" s="21"/>
      <c r="F70" s="20"/>
      <c r="G70" s="21"/>
      <c r="H70" s="20"/>
      <c r="I70" s="21"/>
      <c r="J70" s="22"/>
      <c r="K70" s="23"/>
      <c r="L70" s="24"/>
      <c r="M70" s="25"/>
      <c r="N70" s="25"/>
    </row>
    <row r="71" spans="2:14" s="10" customFormat="1" ht="13.8" x14ac:dyDescent="0.3">
      <c r="B71" s="20"/>
      <c r="C71" s="21"/>
      <c r="D71" s="20"/>
      <c r="E71" s="21"/>
      <c r="F71" s="20"/>
      <c r="G71" s="21"/>
      <c r="H71" s="20"/>
      <c r="I71" s="21"/>
      <c r="J71" s="22"/>
      <c r="K71" s="23"/>
      <c r="L71" s="24"/>
      <c r="M71" s="25"/>
      <c r="N71" s="25"/>
    </row>
    <row r="72" spans="2:14" s="10" customFormat="1" ht="13.8" x14ac:dyDescent="0.3">
      <c r="B72" s="20"/>
      <c r="C72" s="21"/>
      <c r="D72" s="20"/>
      <c r="E72" s="21"/>
      <c r="F72" s="20"/>
      <c r="G72" s="21"/>
      <c r="H72" s="20"/>
      <c r="I72" s="21"/>
      <c r="J72" s="22"/>
      <c r="K72" s="23"/>
      <c r="L72" s="24"/>
      <c r="M72" s="25"/>
      <c r="N72" s="25"/>
    </row>
    <row r="73" spans="2:14" s="10" customFormat="1" ht="13.8" x14ac:dyDescent="0.3">
      <c r="B73" s="20"/>
      <c r="C73" s="21"/>
      <c r="D73" s="20"/>
      <c r="E73" s="21"/>
      <c r="F73" s="20"/>
      <c r="G73" s="21"/>
      <c r="H73" s="20"/>
      <c r="I73" s="21"/>
      <c r="J73" s="22"/>
      <c r="K73" s="23"/>
      <c r="L73" s="24"/>
      <c r="M73" s="25"/>
      <c r="N73" s="25"/>
    </row>
    <row r="74" spans="2:14" s="10" customFormat="1" ht="13.8" x14ac:dyDescent="0.3">
      <c r="B74" s="20"/>
      <c r="C74" s="21"/>
      <c r="D74" s="20"/>
      <c r="E74" s="21"/>
      <c r="F74" s="20"/>
      <c r="G74" s="21"/>
      <c r="H74" s="20"/>
      <c r="I74" s="21"/>
      <c r="J74" s="22"/>
      <c r="K74" s="23"/>
      <c r="L74" s="24"/>
      <c r="M74" s="25"/>
      <c r="N74" s="25"/>
    </row>
    <row r="75" spans="2:14" s="10" customFormat="1" ht="13.8" x14ac:dyDescent="0.3">
      <c r="B75" s="20"/>
      <c r="C75" s="21"/>
      <c r="D75" s="20"/>
      <c r="E75" s="21"/>
      <c r="F75" s="20"/>
      <c r="G75" s="21"/>
      <c r="H75" s="20"/>
      <c r="I75" s="21"/>
      <c r="J75" s="22"/>
      <c r="K75" s="23"/>
      <c r="L75" s="24"/>
      <c r="M75" s="25"/>
      <c r="N75" s="25"/>
    </row>
    <row r="76" spans="2:14" s="10" customFormat="1" ht="13.8" x14ac:dyDescent="0.3">
      <c r="B76" s="20"/>
      <c r="C76" s="21"/>
      <c r="D76" s="20"/>
      <c r="E76" s="21"/>
      <c r="F76" s="20"/>
      <c r="G76" s="21"/>
      <c r="H76" s="20"/>
      <c r="I76" s="21"/>
      <c r="J76" s="22"/>
      <c r="K76" s="23"/>
      <c r="L76" s="24"/>
      <c r="M76" s="25"/>
      <c r="N76" s="25"/>
    </row>
    <row r="77" spans="2:14" s="10" customFormat="1" ht="13.8" x14ac:dyDescent="0.3">
      <c r="B77" s="20"/>
      <c r="C77" s="21"/>
      <c r="D77" s="20"/>
      <c r="E77" s="21"/>
      <c r="F77" s="20"/>
      <c r="G77" s="21"/>
      <c r="H77" s="20"/>
      <c r="I77" s="21"/>
      <c r="J77" s="22"/>
      <c r="K77" s="23"/>
      <c r="L77" s="24"/>
      <c r="M77" s="25"/>
      <c r="N77" s="25"/>
    </row>
    <row r="78" spans="2:14" s="10" customFormat="1" ht="13.8" x14ac:dyDescent="0.3">
      <c r="B78" s="20"/>
      <c r="C78" s="21"/>
      <c r="D78" s="20"/>
      <c r="E78" s="21"/>
      <c r="F78" s="20"/>
      <c r="G78" s="21"/>
      <c r="H78" s="20"/>
      <c r="I78" s="21"/>
      <c r="J78" s="22"/>
      <c r="K78" s="23"/>
      <c r="L78" s="24"/>
      <c r="M78" s="25"/>
      <c r="N78" s="25"/>
    </row>
    <row r="79" spans="2:14" s="10" customFormat="1" ht="13.8" x14ac:dyDescent="0.3">
      <c r="B79" s="20"/>
      <c r="C79" s="21"/>
      <c r="D79" s="20"/>
      <c r="E79" s="21"/>
      <c r="F79" s="20"/>
      <c r="G79" s="21"/>
      <c r="H79" s="20"/>
      <c r="I79" s="21"/>
      <c r="J79" s="22"/>
      <c r="K79" s="23"/>
      <c r="L79" s="24"/>
      <c r="M79" s="25"/>
      <c r="N79" s="25"/>
    </row>
    <row r="80" spans="2:14" s="10" customFormat="1" ht="13.8" x14ac:dyDescent="0.3">
      <c r="B80" s="20"/>
      <c r="C80" s="21"/>
      <c r="D80" s="20"/>
      <c r="E80" s="21"/>
      <c r="F80" s="20"/>
      <c r="G80" s="21"/>
      <c r="H80" s="20"/>
      <c r="I80" s="21"/>
      <c r="J80" s="22"/>
      <c r="K80" s="23"/>
      <c r="L80" s="24"/>
      <c r="M80" s="25"/>
      <c r="N80" s="25"/>
    </row>
    <row r="81" spans="2:14" s="10" customFormat="1" ht="13.8" x14ac:dyDescent="0.3">
      <c r="B81" s="20"/>
      <c r="C81" s="21"/>
      <c r="D81" s="20"/>
      <c r="E81" s="21"/>
      <c r="F81" s="20"/>
      <c r="G81" s="21"/>
      <c r="H81" s="20"/>
      <c r="I81" s="21"/>
      <c r="J81" s="22"/>
      <c r="K81" s="23"/>
      <c r="L81" s="24"/>
      <c r="M81" s="25"/>
      <c r="N81" s="25"/>
    </row>
    <row r="82" spans="2:14" s="10" customFormat="1" ht="13.8" x14ac:dyDescent="0.3">
      <c r="B82" s="20"/>
      <c r="C82" s="21"/>
      <c r="D82" s="20"/>
      <c r="E82" s="21"/>
      <c r="F82" s="20"/>
      <c r="G82" s="21"/>
      <c r="H82" s="20"/>
      <c r="I82" s="21"/>
      <c r="J82" s="22"/>
      <c r="K82" s="23"/>
      <c r="L82" s="24"/>
      <c r="M82" s="25"/>
      <c r="N82" s="25"/>
    </row>
    <row r="83" spans="2:14" s="10" customFormat="1" ht="13.8" x14ac:dyDescent="0.3">
      <c r="B83" s="20"/>
      <c r="C83" s="21"/>
      <c r="D83" s="20"/>
      <c r="E83" s="21"/>
      <c r="F83" s="20"/>
      <c r="G83" s="21"/>
      <c r="H83" s="20"/>
      <c r="I83" s="21"/>
      <c r="J83" s="22"/>
      <c r="K83" s="23"/>
      <c r="L83" s="24"/>
      <c r="M83" s="25"/>
      <c r="N83" s="25"/>
    </row>
    <row r="84" spans="2:14" s="10" customFormat="1" ht="13.8" x14ac:dyDescent="0.3">
      <c r="B84" s="20"/>
      <c r="C84" s="21"/>
      <c r="D84" s="20"/>
      <c r="E84" s="21"/>
      <c r="F84" s="20"/>
      <c r="G84" s="21"/>
      <c r="H84" s="20"/>
      <c r="I84" s="21"/>
      <c r="J84" s="22"/>
      <c r="K84" s="23"/>
      <c r="L84" s="24"/>
      <c r="M84" s="25"/>
      <c r="N84" s="25"/>
    </row>
    <row r="85" spans="2:14" s="10" customFormat="1" ht="13.8" x14ac:dyDescent="0.3">
      <c r="B85" s="20"/>
      <c r="C85" s="21"/>
      <c r="D85" s="20"/>
      <c r="E85" s="21"/>
      <c r="F85" s="20"/>
      <c r="G85" s="21"/>
      <c r="H85" s="20"/>
      <c r="I85" s="21"/>
      <c r="J85" s="22"/>
      <c r="K85" s="23"/>
      <c r="L85" s="24"/>
      <c r="M85" s="25"/>
      <c r="N85" s="25"/>
    </row>
    <row r="86" spans="2:14" s="10" customFormat="1" ht="13.8" x14ac:dyDescent="0.3">
      <c r="B86" s="20"/>
      <c r="C86" s="21"/>
      <c r="D86" s="20"/>
      <c r="E86" s="21"/>
      <c r="F86" s="20"/>
      <c r="G86" s="21"/>
      <c r="H86" s="20"/>
      <c r="I86" s="21"/>
      <c r="J86" s="22"/>
      <c r="K86" s="23"/>
      <c r="L86" s="24"/>
      <c r="M86" s="25"/>
      <c r="N86" s="25"/>
    </row>
    <row r="87" spans="2:14" s="10" customFormat="1" ht="13.8" x14ac:dyDescent="0.3">
      <c r="B87" s="20"/>
      <c r="C87" s="21"/>
      <c r="D87" s="20"/>
      <c r="E87" s="21"/>
      <c r="F87" s="20"/>
      <c r="G87" s="21"/>
      <c r="H87" s="20"/>
      <c r="I87" s="21"/>
      <c r="J87" s="22"/>
      <c r="K87" s="23"/>
      <c r="L87" s="24"/>
      <c r="M87" s="25"/>
      <c r="N87" s="25"/>
    </row>
    <row r="88" spans="2:14" s="10" customFormat="1" ht="13.8" x14ac:dyDescent="0.3">
      <c r="B88" s="20"/>
      <c r="C88" s="21"/>
      <c r="D88" s="20"/>
      <c r="E88" s="21"/>
      <c r="F88" s="20"/>
      <c r="G88" s="21"/>
      <c r="H88" s="20"/>
      <c r="I88" s="21"/>
      <c r="J88" s="22"/>
      <c r="K88" s="23"/>
      <c r="L88" s="24"/>
      <c r="M88" s="25"/>
      <c r="N88" s="25"/>
    </row>
    <row r="89" spans="2:14" s="10" customFormat="1" ht="13.8" x14ac:dyDescent="0.3">
      <c r="B89" s="20"/>
      <c r="C89" s="21"/>
      <c r="D89" s="20"/>
      <c r="E89" s="21"/>
      <c r="F89" s="20"/>
      <c r="G89" s="21"/>
      <c r="H89" s="20"/>
      <c r="I89" s="21"/>
      <c r="J89" s="22"/>
      <c r="K89" s="23"/>
      <c r="L89" s="24"/>
      <c r="M89" s="25"/>
      <c r="N89" s="25"/>
    </row>
    <row r="90" spans="2:14" s="10" customFormat="1" ht="13.8" x14ac:dyDescent="0.3">
      <c r="B90" s="20"/>
      <c r="C90" s="21"/>
      <c r="D90" s="20"/>
      <c r="E90" s="21"/>
      <c r="F90" s="20"/>
      <c r="G90" s="21"/>
      <c r="H90" s="20"/>
      <c r="I90" s="21"/>
      <c r="J90" s="22"/>
      <c r="K90" s="23"/>
      <c r="L90" s="24"/>
      <c r="M90" s="25"/>
      <c r="N90" s="25"/>
    </row>
    <row r="91" spans="2:14" s="10" customFormat="1" ht="13.8" x14ac:dyDescent="0.3">
      <c r="B91" s="20"/>
      <c r="C91" s="21"/>
      <c r="D91" s="20"/>
      <c r="E91" s="21"/>
      <c r="F91" s="20"/>
      <c r="G91" s="21"/>
      <c r="H91" s="20"/>
      <c r="I91" s="21"/>
      <c r="J91" s="22"/>
      <c r="K91" s="23"/>
      <c r="L91" s="24"/>
      <c r="M91" s="25"/>
      <c r="N91" s="25"/>
    </row>
    <row r="92" spans="2:14" s="10" customFormat="1" ht="13.8" x14ac:dyDescent="0.3">
      <c r="B92" s="20"/>
      <c r="C92" s="21"/>
      <c r="D92" s="20"/>
      <c r="E92" s="21"/>
      <c r="F92" s="20"/>
      <c r="G92" s="21"/>
      <c r="H92" s="20"/>
      <c r="I92" s="21"/>
      <c r="J92" s="22"/>
      <c r="K92" s="23"/>
      <c r="L92" s="24"/>
      <c r="M92" s="25"/>
      <c r="N92" s="25"/>
    </row>
    <row r="93" spans="2:14" s="10" customFormat="1" ht="13.8" x14ac:dyDescent="0.3">
      <c r="B93" s="20"/>
      <c r="C93" s="21"/>
      <c r="D93" s="20"/>
      <c r="E93" s="21"/>
      <c r="F93" s="20"/>
      <c r="G93" s="21"/>
      <c r="H93" s="20"/>
      <c r="I93" s="21"/>
      <c r="J93" s="22"/>
      <c r="K93" s="23"/>
      <c r="L93" s="24"/>
      <c r="M93" s="25"/>
      <c r="N93" s="25"/>
    </row>
    <row r="94" spans="2:14" s="10" customFormat="1" ht="13.8" x14ac:dyDescent="0.3">
      <c r="B94" s="20"/>
      <c r="C94" s="21"/>
      <c r="D94" s="20"/>
      <c r="E94" s="21"/>
      <c r="F94" s="20"/>
      <c r="G94" s="21"/>
      <c r="H94" s="20"/>
      <c r="I94" s="21"/>
      <c r="J94" s="22"/>
      <c r="K94" s="23"/>
      <c r="L94" s="24"/>
      <c r="M94" s="25"/>
      <c r="N94" s="25"/>
    </row>
    <row r="95" spans="2:14" s="10" customFormat="1" ht="13.8" x14ac:dyDescent="0.3">
      <c r="B95" s="20"/>
      <c r="C95" s="21"/>
      <c r="D95" s="20"/>
      <c r="E95" s="21"/>
      <c r="F95" s="20"/>
      <c r="G95" s="21"/>
      <c r="H95" s="20"/>
      <c r="I95" s="21"/>
      <c r="J95" s="22"/>
      <c r="K95" s="23"/>
      <c r="L95" s="24"/>
      <c r="M95" s="25"/>
      <c r="N95" s="25"/>
    </row>
    <row r="96" spans="2:14" s="10" customFormat="1" ht="13.8" x14ac:dyDescent="0.3">
      <c r="B96" s="20"/>
      <c r="C96" s="21"/>
      <c r="D96" s="20"/>
      <c r="E96" s="21"/>
      <c r="F96" s="20"/>
      <c r="G96" s="21"/>
      <c r="H96" s="20"/>
      <c r="I96" s="21"/>
      <c r="J96" s="22"/>
      <c r="K96" s="23"/>
      <c r="L96" s="24"/>
      <c r="M96" s="25"/>
      <c r="N96" s="25"/>
    </row>
  </sheetData>
  <phoneticPr fontId="9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8213-260F-4366-8DC3-CB8C068FF38F}">
  <dimension ref="A1:P96"/>
  <sheetViews>
    <sheetView tabSelected="1" zoomScaleNormal="100" workbookViewId="0">
      <selection activeCell="F9" sqref="F9"/>
    </sheetView>
  </sheetViews>
  <sheetFormatPr baseColWidth="10" defaultColWidth="10.6640625" defaultRowHeight="14.4" x14ac:dyDescent="0.3"/>
  <cols>
    <col min="1" max="1" width="36.77734375" customWidth="1"/>
    <col min="2" max="2" width="12.77734375" style="1" customWidth="1"/>
    <col min="3" max="3" width="8.5546875" style="2" customWidth="1"/>
    <col min="4" max="4" width="12.77734375" style="1" customWidth="1"/>
    <col min="5" max="5" width="9.5546875" style="2" customWidth="1"/>
    <col min="6" max="6" width="9.5546875" style="1" customWidth="1"/>
    <col min="7" max="7" width="6.33203125" style="2" customWidth="1"/>
    <col min="8" max="8" width="9.109375" style="1" customWidth="1"/>
    <col min="9" max="9" width="6.33203125" style="2" customWidth="1"/>
    <col min="10" max="10" width="10.6640625" style="3" customWidth="1"/>
    <col min="11" max="11" width="10.88671875" style="4" customWidth="1"/>
    <col min="12" max="12" width="10.21875" style="5" customWidth="1"/>
    <col min="13" max="13" width="10.6640625" style="6" customWidth="1"/>
    <col min="14" max="14" width="10.5546875" style="6" customWidth="1"/>
    <col min="15" max="16" width="5.33203125" customWidth="1"/>
  </cols>
  <sheetData>
    <row r="1" spans="1:16" s="36" customFormat="1" ht="24.75" customHeight="1" x14ac:dyDescent="0.3">
      <c r="A1" s="30" t="s">
        <v>0</v>
      </c>
      <c r="B1" s="31" t="s">
        <v>8</v>
      </c>
      <c r="C1" s="37" t="s">
        <v>39</v>
      </c>
      <c r="D1" s="31" t="s">
        <v>1</v>
      </c>
      <c r="E1" s="37" t="s">
        <v>40</v>
      </c>
      <c r="F1" s="31" t="s">
        <v>7</v>
      </c>
      <c r="G1" s="32" t="s">
        <v>41</v>
      </c>
      <c r="H1" s="31" t="s">
        <v>9</v>
      </c>
      <c r="I1" s="32" t="s">
        <v>42</v>
      </c>
      <c r="J1" s="33" t="s">
        <v>10</v>
      </c>
      <c r="K1" s="31" t="s">
        <v>11</v>
      </c>
      <c r="L1" s="31" t="s">
        <v>12</v>
      </c>
      <c r="M1" s="31" t="s">
        <v>13</v>
      </c>
      <c r="N1" s="34" t="s">
        <v>14</v>
      </c>
      <c r="O1" s="35"/>
      <c r="P1" s="35"/>
    </row>
    <row r="2" spans="1:16" s="10" customFormat="1" ht="13.8" x14ac:dyDescent="0.3">
      <c r="A2" s="29" t="s">
        <v>26</v>
      </c>
      <c r="B2" s="14">
        <v>8.57</v>
      </c>
      <c r="C2" s="15">
        <f>(Tabla15[[#This Row],[Aporte Individual]]*0.35)</f>
        <v>2.9994999999999998</v>
      </c>
      <c r="D2" s="14">
        <v>7</v>
      </c>
      <c r="E2" s="15">
        <f>Tabla15[[#This Row],[Aporte Grupal]]*0.35</f>
        <v>2.4499999999999997</v>
      </c>
      <c r="F2" s="14">
        <v>10</v>
      </c>
      <c r="G2" s="15">
        <f>Tabla15[[#This Row],[Proyecto]]*0.1</f>
        <v>1</v>
      </c>
      <c r="H2" s="14">
        <v>7</v>
      </c>
      <c r="I2" s="15">
        <f>Tabla15[[#This Row],[Examen]]*0.2</f>
        <v>1.4000000000000001</v>
      </c>
      <c r="J2" s="16">
        <f>SUM(Tabla15[[#This Row],[35%(Aporte Individual)]],Tabla15[[#This Row],[35%(Aporte Grupal)]],Tabla15[[#This Row],[10%(Proyecto)]],Tabla15[[#This Row],[20%(Examen)]])</f>
        <v>7.8494999999999999</v>
      </c>
      <c r="K2" s="7" t="s">
        <v>3</v>
      </c>
      <c r="L2" s="8" t="s">
        <v>2</v>
      </c>
      <c r="M2" s="9">
        <v>0</v>
      </c>
      <c r="N2" s="26">
        <v>0</v>
      </c>
    </row>
    <row r="3" spans="1:16" s="10" customFormat="1" ht="13.8" x14ac:dyDescent="0.3">
      <c r="A3" s="29" t="s">
        <v>36</v>
      </c>
      <c r="B3" s="14">
        <v>5.2</v>
      </c>
      <c r="C3" s="15">
        <f>(Tabla15[[#This Row],[Aporte Individual]]*0.35)</f>
        <v>1.8199999999999998</v>
      </c>
      <c r="D3" s="14">
        <v>7</v>
      </c>
      <c r="E3" s="15">
        <f>Tabla15[[#This Row],[Aporte Grupal]]*0.35</f>
        <v>2.4499999999999997</v>
      </c>
      <c r="F3" s="14">
        <v>5</v>
      </c>
      <c r="G3" s="15">
        <f>Tabla15[[#This Row],[Proyecto]]*0.1</f>
        <v>0.5</v>
      </c>
      <c r="H3" s="14">
        <v>6.5</v>
      </c>
      <c r="I3" s="15">
        <f>Tabla15[[#This Row],[Examen]]*0.2</f>
        <v>1.3</v>
      </c>
      <c r="J3" s="16">
        <f>SUM(Tabla15[[#This Row],[35%(Aporte Individual)]],Tabla15[[#This Row],[35%(Aporte Grupal)]],Tabla15[[#This Row],[10%(Proyecto)]],Tabla15[[#This Row],[20%(Examen)]])</f>
        <v>6.0699999999999994</v>
      </c>
      <c r="K3" s="11" t="s">
        <v>38</v>
      </c>
      <c r="L3" s="12" t="s">
        <v>2</v>
      </c>
      <c r="M3" s="13">
        <v>0</v>
      </c>
      <c r="N3" s="27">
        <v>0</v>
      </c>
    </row>
    <row r="4" spans="1:16" s="10" customFormat="1" ht="13.8" x14ac:dyDescent="0.3">
      <c r="A4" s="29" t="s">
        <v>30</v>
      </c>
      <c r="B4" s="14">
        <v>9.5</v>
      </c>
      <c r="C4" s="15">
        <f>(Tabla15[[#This Row],[Aporte Individual]]*0.35)</f>
        <v>3.3249999999999997</v>
      </c>
      <c r="D4" s="14">
        <v>9.5</v>
      </c>
      <c r="E4" s="15">
        <f>Tabla15[[#This Row],[Aporte Grupal]]*0.35</f>
        <v>3.3249999999999997</v>
      </c>
      <c r="F4" s="14">
        <v>9</v>
      </c>
      <c r="G4" s="15">
        <f>Tabla15[[#This Row],[Proyecto]]*0.1</f>
        <v>0.9</v>
      </c>
      <c r="H4" s="14">
        <v>10</v>
      </c>
      <c r="I4" s="15">
        <f>Tabla15[[#This Row],[Examen]]*0.2</f>
        <v>2</v>
      </c>
      <c r="J4" s="16">
        <f>SUM(Tabla15[[#This Row],[35%(Aporte Individual)]],Tabla15[[#This Row],[35%(Aporte Grupal)]],Tabla15[[#This Row],[10%(Proyecto)]],Tabla15[[#This Row],[20%(Examen)]])</f>
        <v>9.5500000000000007</v>
      </c>
      <c r="K4" s="11" t="s">
        <v>5</v>
      </c>
      <c r="L4" s="12" t="s">
        <v>2</v>
      </c>
      <c r="M4" s="13">
        <v>0</v>
      </c>
      <c r="N4" s="27">
        <v>0</v>
      </c>
    </row>
    <row r="5" spans="1:16" s="10" customFormat="1" ht="13.8" x14ac:dyDescent="0.3">
      <c r="A5" s="29" t="s">
        <v>20</v>
      </c>
      <c r="B5" s="14">
        <v>7.29</v>
      </c>
      <c r="C5" s="15">
        <f>(Tabla15[[#This Row],[Aporte Individual]]*0.35)</f>
        <v>2.5514999999999999</v>
      </c>
      <c r="D5" s="14">
        <v>7</v>
      </c>
      <c r="E5" s="15">
        <f>Tabla15[[#This Row],[Aporte Grupal]]*0.35</f>
        <v>2.4499999999999997</v>
      </c>
      <c r="F5" s="14">
        <v>9</v>
      </c>
      <c r="G5" s="15">
        <f>Tabla15[[#This Row],[Proyecto]]*0.1</f>
        <v>0.9</v>
      </c>
      <c r="H5" s="14">
        <v>6</v>
      </c>
      <c r="I5" s="15">
        <f>Tabla15[[#This Row],[Examen]]*0.2</f>
        <v>1.2000000000000002</v>
      </c>
      <c r="J5" s="16">
        <f>SUM(Tabla15[[#This Row],[35%(Aporte Individual)]],Tabla15[[#This Row],[35%(Aporte Grupal)]],Tabla15[[#This Row],[10%(Proyecto)]],Tabla15[[#This Row],[20%(Examen)]])</f>
        <v>7.1015000000000006</v>
      </c>
      <c r="K5" s="11" t="s">
        <v>3</v>
      </c>
      <c r="L5" s="12" t="s">
        <v>4</v>
      </c>
      <c r="M5" s="13">
        <v>1</v>
      </c>
      <c r="N5" s="27">
        <v>1</v>
      </c>
    </row>
    <row r="6" spans="1:16" s="10" customFormat="1" ht="13.8" x14ac:dyDescent="0.3">
      <c r="A6" s="29" t="s">
        <v>34</v>
      </c>
      <c r="B6" s="14">
        <v>9.69</v>
      </c>
      <c r="C6" s="15">
        <f>(Tabla15[[#This Row],[Aporte Individual]]*0.35)</f>
        <v>3.3914999999999997</v>
      </c>
      <c r="D6" s="14">
        <v>10</v>
      </c>
      <c r="E6" s="15">
        <f>Tabla15[[#This Row],[Aporte Grupal]]*0.35</f>
        <v>3.5</v>
      </c>
      <c r="F6" s="14">
        <v>10</v>
      </c>
      <c r="G6" s="15">
        <f>Tabla15[[#This Row],[Proyecto]]*0.1</f>
        <v>1</v>
      </c>
      <c r="H6" s="14">
        <v>7</v>
      </c>
      <c r="I6" s="15">
        <f>Tabla15[[#This Row],[Examen]]*0.2</f>
        <v>1.4000000000000001</v>
      </c>
      <c r="J6" s="16">
        <f>SUM(Tabla15[[#This Row],[35%(Aporte Individual)]],Tabla15[[#This Row],[35%(Aporte Grupal)]],Tabla15[[#This Row],[10%(Proyecto)]],Tabla15[[#This Row],[20%(Examen)]])</f>
        <v>9.2914999999999992</v>
      </c>
      <c r="K6" s="11" t="s">
        <v>5</v>
      </c>
      <c r="L6" s="12" t="s">
        <v>2</v>
      </c>
      <c r="M6" s="13">
        <v>0</v>
      </c>
      <c r="N6" s="27">
        <v>0</v>
      </c>
    </row>
    <row r="7" spans="1:16" s="10" customFormat="1" ht="13.8" x14ac:dyDescent="0.3">
      <c r="A7" s="29" t="s">
        <v>33</v>
      </c>
      <c r="B7" s="14">
        <v>6.81</v>
      </c>
      <c r="C7" s="15">
        <f>(Tabla15[[#This Row],[Aporte Individual]]*0.35)</f>
        <v>2.3834999999999997</v>
      </c>
      <c r="D7" s="14">
        <v>7</v>
      </c>
      <c r="E7" s="15">
        <f>Tabla15[[#This Row],[Aporte Grupal]]*0.35</f>
        <v>2.4499999999999997</v>
      </c>
      <c r="F7" s="14">
        <v>10</v>
      </c>
      <c r="G7" s="15">
        <f>Tabla15[[#This Row],[Proyecto]]*0.1</f>
        <v>1</v>
      </c>
      <c r="H7" s="14">
        <v>6</v>
      </c>
      <c r="I7" s="15">
        <f>Tabla15[[#This Row],[Examen]]*0.2</f>
        <v>1.2000000000000002</v>
      </c>
      <c r="J7" s="16">
        <f>SUM(Tabla15[[#This Row],[35%(Aporte Individual)]],Tabla15[[#This Row],[35%(Aporte Grupal)]],Tabla15[[#This Row],[10%(Proyecto)]],Tabla15[[#This Row],[20%(Examen)]])</f>
        <v>7.0334999999999992</v>
      </c>
      <c r="K7" s="11" t="s">
        <v>3</v>
      </c>
      <c r="L7" s="12" t="s">
        <v>2</v>
      </c>
      <c r="M7" s="13">
        <v>0</v>
      </c>
      <c r="N7" s="27">
        <v>0</v>
      </c>
    </row>
    <row r="8" spans="1:16" s="10" customFormat="1" ht="13.8" x14ac:dyDescent="0.3">
      <c r="A8" s="29" t="s">
        <v>21</v>
      </c>
      <c r="B8" s="14">
        <v>6.86</v>
      </c>
      <c r="C8" s="15">
        <f>(Tabla15[[#This Row],[Aporte Individual]]*0.35)</f>
        <v>2.4009999999999998</v>
      </c>
      <c r="D8" s="14">
        <v>10</v>
      </c>
      <c r="E8" s="15">
        <f>Tabla15[[#This Row],[Aporte Grupal]]*0.35</f>
        <v>3.5</v>
      </c>
      <c r="F8" s="14">
        <v>10</v>
      </c>
      <c r="G8" s="15">
        <f>Tabla15[[#This Row],[Proyecto]]*0.1</f>
        <v>1</v>
      </c>
      <c r="H8" s="14">
        <v>5.2</v>
      </c>
      <c r="I8" s="15">
        <f>Tabla15[[#This Row],[Examen]]*0.2</f>
        <v>1.04</v>
      </c>
      <c r="J8" s="16">
        <f>SUM(Tabla15[[#This Row],[35%(Aporte Individual)]],Tabla15[[#This Row],[35%(Aporte Grupal)]],Tabla15[[#This Row],[10%(Proyecto)]],Tabla15[[#This Row],[20%(Examen)]])</f>
        <v>7.9409999999999998</v>
      </c>
      <c r="K8" s="11" t="s">
        <v>3</v>
      </c>
      <c r="L8" s="12" t="s">
        <v>2</v>
      </c>
      <c r="M8" s="13">
        <v>0</v>
      </c>
      <c r="N8" s="27">
        <v>0</v>
      </c>
    </row>
    <row r="9" spans="1:16" s="10" customFormat="1" ht="13.8" x14ac:dyDescent="0.3">
      <c r="A9" s="29" t="s">
        <v>24</v>
      </c>
      <c r="B9" s="14">
        <v>7.14</v>
      </c>
      <c r="C9" s="15">
        <f>(Tabla15[[#This Row],[Aporte Individual]]*0.35)</f>
        <v>2.4989999999999997</v>
      </c>
      <c r="D9" s="14">
        <v>7.7</v>
      </c>
      <c r="E9" s="15">
        <f>Tabla15[[#This Row],[Aporte Grupal]]*0.35</f>
        <v>2.6949999999999998</v>
      </c>
      <c r="F9" s="14">
        <v>10</v>
      </c>
      <c r="G9" s="15">
        <f>Tabla15[[#This Row],[Proyecto]]*0.1</f>
        <v>1</v>
      </c>
      <c r="H9" s="14">
        <v>4.2</v>
      </c>
      <c r="I9" s="15">
        <f>Tabla15[[#This Row],[Examen]]*0.2</f>
        <v>0.84000000000000008</v>
      </c>
      <c r="J9" s="16">
        <f>SUM(Tabla15[[#This Row],[35%(Aporte Individual)]],Tabla15[[#This Row],[35%(Aporte Grupal)]],Tabla15[[#This Row],[10%(Proyecto)]],Tabla15[[#This Row],[20%(Examen)]])</f>
        <v>7.0339999999999989</v>
      </c>
      <c r="K9" s="11" t="s">
        <v>3</v>
      </c>
      <c r="L9" s="12" t="s">
        <v>2</v>
      </c>
      <c r="M9" s="13">
        <v>1</v>
      </c>
      <c r="N9" s="27">
        <v>0</v>
      </c>
    </row>
    <row r="10" spans="1:16" s="10" customFormat="1" ht="13.8" x14ac:dyDescent="0.3">
      <c r="A10" s="29" t="s">
        <v>29</v>
      </c>
      <c r="B10" s="14">
        <v>7.29</v>
      </c>
      <c r="C10" s="15">
        <f>(Tabla15[[#This Row],[Aporte Individual]]*0.35)</f>
        <v>2.5514999999999999</v>
      </c>
      <c r="D10" s="14">
        <v>7</v>
      </c>
      <c r="E10" s="15">
        <f>Tabla15[[#This Row],[Aporte Grupal]]*0.35</f>
        <v>2.4499999999999997</v>
      </c>
      <c r="F10" s="14">
        <v>9</v>
      </c>
      <c r="G10" s="15">
        <f>Tabla15[[#This Row],[Proyecto]]*0.1</f>
        <v>0.9</v>
      </c>
      <c r="H10" s="14">
        <v>6</v>
      </c>
      <c r="I10" s="15">
        <f>Tabla15[[#This Row],[Examen]]*0.2</f>
        <v>1.2000000000000002</v>
      </c>
      <c r="J10" s="16">
        <f>SUM(Tabla15[[#This Row],[35%(Aporte Individual)]],Tabla15[[#This Row],[35%(Aporte Grupal)]],Tabla15[[#This Row],[10%(Proyecto)]],Tabla15[[#This Row],[20%(Examen)]])</f>
        <v>7.1015000000000006</v>
      </c>
      <c r="K10" s="11" t="s">
        <v>3</v>
      </c>
      <c r="L10" s="12" t="s">
        <v>4</v>
      </c>
      <c r="M10" s="13">
        <v>0</v>
      </c>
      <c r="N10" s="27">
        <v>0</v>
      </c>
    </row>
    <row r="11" spans="1:16" s="10" customFormat="1" ht="13.8" x14ac:dyDescent="0.3">
      <c r="A11" s="29" t="s">
        <v>23</v>
      </c>
      <c r="B11" s="14">
        <v>7.29</v>
      </c>
      <c r="C11" s="15">
        <f>(Tabla15[[#This Row],[Aporte Individual]]*0.35)</f>
        <v>2.5514999999999999</v>
      </c>
      <c r="D11" s="14">
        <v>10</v>
      </c>
      <c r="E11" s="15">
        <f>Tabla15[[#This Row],[Aporte Grupal]]*0.35</f>
        <v>3.5</v>
      </c>
      <c r="F11" s="14">
        <v>10</v>
      </c>
      <c r="G11" s="15">
        <f>Tabla15[[#This Row],[Proyecto]]*0.1</f>
        <v>1</v>
      </c>
      <c r="H11" s="14">
        <v>6</v>
      </c>
      <c r="I11" s="15">
        <f>Tabla15[[#This Row],[Examen]]*0.2</f>
        <v>1.2000000000000002</v>
      </c>
      <c r="J11" s="16">
        <f>SUM(Tabla15[[#This Row],[35%(Aporte Individual)]],Tabla15[[#This Row],[35%(Aporte Grupal)]],Tabla15[[#This Row],[10%(Proyecto)]],Tabla15[[#This Row],[20%(Examen)]])</f>
        <v>8.2515000000000001</v>
      </c>
      <c r="K11" s="11" t="s">
        <v>6</v>
      </c>
      <c r="L11" s="12" t="s">
        <v>2</v>
      </c>
      <c r="M11" s="13">
        <v>0</v>
      </c>
      <c r="N11" s="27">
        <v>0</v>
      </c>
    </row>
    <row r="12" spans="1:16" s="10" customFormat="1" ht="13.8" x14ac:dyDescent="0.3">
      <c r="A12" s="29" t="s">
        <v>35</v>
      </c>
      <c r="B12" s="14">
        <v>8.7100000000000009</v>
      </c>
      <c r="C12" s="15">
        <f>(Tabla15[[#This Row],[Aporte Individual]]*0.35)</f>
        <v>3.0485000000000002</v>
      </c>
      <c r="D12" s="14">
        <v>6.25</v>
      </c>
      <c r="E12" s="15">
        <f>Tabla15[[#This Row],[Aporte Grupal]]*0.35</f>
        <v>2.1875</v>
      </c>
      <c r="F12" s="14">
        <v>10</v>
      </c>
      <c r="G12" s="15">
        <f>Tabla15[[#This Row],[Proyecto]]*0.1</f>
        <v>1</v>
      </c>
      <c r="H12" s="14">
        <v>7.25</v>
      </c>
      <c r="I12" s="15">
        <f>Tabla15[[#This Row],[Examen]]*0.2</f>
        <v>1.4500000000000002</v>
      </c>
      <c r="J12" s="16">
        <f>SUM(Tabla15[[#This Row],[35%(Aporte Individual)]],Tabla15[[#This Row],[35%(Aporte Grupal)]],Tabla15[[#This Row],[10%(Proyecto)]],Tabla15[[#This Row],[20%(Examen)]])</f>
        <v>7.6860000000000008</v>
      </c>
      <c r="K12" s="11" t="s">
        <v>3</v>
      </c>
      <c r="L12" s="12" t="s">
        <v>2</v>
      </c>
      <c r="M12" s="13">
        <v>1</v>
      </c>
      <c r="N12" s="27">
        <v>0</v>
      </c>
    </row>
    <row r="13" spans="1:16" s="10" customFormat="1" ht="13.8" x14ac:dyDescent="0.3">
      <c r="A13" s="29" t="s">
        <v>25</v>
      </c>
      <c r="B13" s="14">
        <v>7.88</v>
      </c>
      <c r="C13" s="15">
        <f>(Tabla15[[#This Row],[Aporte Individual]]*0.35)</f>
        <v>2.758</v>
      </c>
      <c r="D13" s="14">
        <v>7</v>
      </c>
      <c r="E13" s="15">
        <f>Tabla15[[#This Row],[Aporte Grupal]]*0.35</f>
        <v>2.4499999999999997</v>
      </c>
      <c r="F13" s="14">
        <v>9</v>
      </c>
      <c r="G13" s="15">
        <f>Tabla15[[#This Row],[Proyecto]]*0.1</f>
        <v>0.9</v>
      </c>
      <c r="H13" s="14">
        <v>5</v>
      </c>
      <c r="I13" s="15">
        <f>Tabla15[[#This Row],[Examen]]*0.2</f>
        <v>1</v>
      </c>
      <c r="J13" s="16">
        <f>SUM(Tabla15[[#This Row],[35%(Aporte Individual)]],Tabla15[[#This Row],[35%(Aporte Grupal)]],Tabla15[[#This Row],[10%(Proyecto)]],Tabla15[[#This Row],[20%(Examen)]])</f>
        <v>7.1080000000000005</v>
      </c>
      <c r="K13" s="11" t="s">
        <v>3</v>
      </c>
      <c r="L13" s="12" t="s">
        <v>2</v>
      </c>
      <c r="M13" s="13">
        <v>0</v>
      </c>
      <c r="N13" s="27">
        <v>0</v>
      </c>
    </row>
    <row r="14" spans="1:16" s="10" customFormat="1" ht="13.8" x14ac:dyDescent="0.3">
      <c r="A14" s="29" t="s">
        <v>18</v>
      </c>
      <c r="B14" s="14">
        <v>9.5399999999999991</v>
      </c>
      <c r="C14" s="15">
        <f>(Tabla15[[#This Row],[Aporte Individual]]*0.35)</f>
        <v>3.3389999999999995</v>
      </c>
      <c r="D14" s="14">
        <v>10</v>
      </c>
      <c r="E14" s="15">
        <f>Tabla15[[#This Row],[Aporte Grupal]]*0.35</f>
        <v>3.5</v>
      </c>
      <c r="F14" s="14">
        <v>10</v>
      </c>
      <c r="G14" s="15">
        <f>Tabla15[[#This Row],[Proyecto]]*0.1</f>
        <v>1</v>
      </c>
      <c r="H14" s="14">
        <v>4.5</v>
      </c>
      <c r="I14" s="15">
        <f>Tabla15[[#This Row],[Examen]]*0.2</f>
        <v>0.9</v>
      </c>
      <c r="J14" s="16">
        <f>SUM(Tabla15[[#This Row],[35%(Aporte Individual)]],Tabla15[[#This Row],[35%(Aporte Grupal)]],Tabla15[[#This Row],[10%(Proyecto)]],Tabla15[[#This Row],[20%(Examen)]])</f>
        <v>8.738999999999999</v>
      </c>
      <c r="K14" s="11" t="s">
        <v>6</v>
      </c>
      <c r="L14" s="12" t="s">
        <v>2</v>
      </c>
      <c r="M14" s="13">
        <v>0</v>
      </c>
      <c r="N14" s="27">
        <v>0</v>
      </c>
    </row>
    <row r="15" spans="1:16" s="10" customFormat="1" ht="13.8" x14ac:dyDescent="0.3">
      <c r="A15" s="29" t="s">
        <v>15</v>
      </c>
      <c r="B15" s="14">
        <v>6.71</v>
      </c>
      <c r="C15" s="15">
        <f>(Tabla15[[#This Row],[Aporte Individual]]*0.35)</f>
        <v>2.3485</v>
      </c>
      <c r="D15" s="14">
        <v>8</v>
      </c>
      <c r="E15" s="15">
        <f>Tabla15[[#This Row],[Aporte Grupal]]*0.35</f>
        <v>2.8</v>
      </c>
      <c r="F15" s="14">
        <v>10</v>
      </c>
      <c r="G15" s="15">
        <f>Tabla15[[#This Row],[Proyecto]]*0.1</f>
        <v>1</v>
      </c>
      <c r="H15" s="14">
        <v>6</v>
      </c>
      <c r="I15" s="15">
        <f>Tabla15[[#This Row],[Examen]]*0.2</f>
        <v>1.2000000000000002</v>
      </c>
      <c r="J15" s="16">
        <f>SUM(Tabla15[[#This Row],[35%(Aporte Individual)]],Tabla15[[#This Row],[35%(Aporte Grupal)]],Tabla15[[#This Row],[10%(Proyecto)]],Tabla15[[#This Row],[20%(Examen)]])</f>
        <v>7.3485000000000005</v>
      </c>
      <c r="K15" s="11" t="s">
        <v>3</v>
      </c>
      <c r="L15" s="12" t="s">
        <v>2</v>
      </c>
      <c r="M15" s="13">
        <v>0</v>
      </c>
      <c r="N15" s="27">
        <v>0</v>
      </c>
    </row>
    <row r="16" spans="1:16" s="10" customFormat="1" ht="13.8" x14ac:dyDescent="0.3">
      <c r="A16" s="29" t="s">
        <v>31</v>
      </c>
      <c r="B16" s="14">
        <v>7.4</v>
      </c>
      <c r="C16" s="15">
        <f>(Tabla15[[#This Row],[Aporte Individual]]*0.35)</f>
        <v>2.59</v>
      </c>
      <c r="D16" s="14">
        <v>7</v>
      </c>
      <c r="E16" s="15">
        <f>Tabla15[[#This Row],[Aporte Grupal]]*0.35</f>
        <v>2.4499999999999997</v>
      </c>
      <c r="F16" s="14">
        <v>10</v>
      </c>
      <c r="G16" s="15">
        <f>Tabla15[[#This Row],[Proyecto]]*0.1</f>
        <v>1</v>
      </c>
      <c r="H16" s="14">
        <v>7</v>
      </c>
      <c r="I16" s="15">
        <f>Tabla15[[#This Row],[Examen]]*0.2</f>
        <v>1.4000000000000001</v>
      </c>
      <c r="J16" s="16">
        <f>SUM(Tabla15[[#This Row],[35%(Aporte Individual)]],Tabla15[[#This Row],[35%(Aporte Grupal)]],Tabla15[[#This Row],[10%(Proyecto)]],Tabla15[[#This Row],[20%(Examen)]])</f>
        <v>7.4399999999999995</v>
      </c>
      <c r="K16" s="11" t="s">
        <v>3</v>
      </c>
      <c r="L16" s="12" t="s">
        <v>2</v>
      </c>
      <c r="M16" s="13">
        <v>0</v>
      </c>
      <c r="N16" s="27">
        <v>0</v>
      </c>
    </row>
    <row r="17" spans="1:14" s="10" customFormat="1" ht="13.8" x14ac:dyDescent="0.3">
      <c r="A17" s="29" t="s">
        <v>17</v>
      </c>
      <c r="B17" s="14">
        <v>7.86</v>
      </c>
      <c r="C17" s="15">
        <f>(Tabla15[[#This Row],[Aporte Individual]]*0.35)</f>
        <v>2.7509999999999999</v>
      </c>
      <c r="D17" s="14">
        <v>8</v>
      </c>
      <c r="E17" s="15">
        <f>Tabla15[[#This Row],[Aporte Grupal]]*0.35</f>
        <v>2.8</v>
      </c>
      <c r="F17" s="14">
        <v>9</v>
      </c>
      <c r="G17" s="15">
        <f>Tabla15[[#This Row],[Proyecto]]*0.1</f>
        <v>0.9</v>
      </c>
      <c r="H17" s="14">
        <v>3</v>
      </c>
      <c r="I17" s="15">
        <f>Tabla15[[#This Row],[Examen]]*0.2</f>
        <v>0.60000000000000009</v>
      </c>
      <c r="J17" s="16">
        <f>SUM(Tabla15[[#This Row],[35%(Aporte Individual)]],Tabla15[[#This Row],[35%(Aporte Grupal)]],Tabla15[[#This Row],[10%(Proyecto)]],Tabla15[[#This Row],[20%(Examen)]])</f>
        <v>7.0510000000000002</v>
      </c>
      <c r="K17" s="11" t="s">
        <v>3</v>
      </c>
      <c r="L17" s="12" t="s">
        <v>4</v>
      </c>
      <c r="M17" s="13">
        <v>1</v>
      </c>
      <c r="N17" s="27">
        <v>0</v>
      </c>
    </row>
    <row r="18" spans="1:14" s="10" customFormat="1" ht="13.8" x14ac:dyDescent="0.3">
      <c r="A18" s="29" t="s">
        <v>37</v>
      </c>
      <c r="B18" s="14">
        <v>7</v>
      </c>
      <c r="C18" s="15">
        <f>(Tabla15[[#This Row],[Aporte Individual]]*0.35)</f>
        <v>2.4499999999999997</v>
      </c>
      <c r="D18" s="14">
        <v>10</v>
      </c>
      <c r="E18" s="15">
        <f>Tabla15[[#This Row],[Aporte Grupal]]*0.35</f>
        <v>3.5</v>
      </c>
      <c r="F18" s="14">
        <v>9</v>
      </c>
      <c r="G18" s="15">
        <f>Tabla15[[#This Row],[Proyecto]]*0.1</f>
        <v>0.9</v>
      </c>
      <c r="H18" s="14">
        <v>7</v>
      </c>
      <c r="I18" s="15">
        <f>Tabla15[[#This Row],[Examen]]*0.2</f>
        <v>1.4000000000000001</v>
      </c>
      <c r="J18" s="16">
        <f>SUM(Tabla15[[#This Row],[35%(Aporte Individual)]],Tabla15[[#This Row],[35%(Aporte Grupal)]],Tabla15[[#This Row],[10%(Proyecto)]],Tabla15[[#This Row],[20%(Examen)]])</f>
        <v>8.25</v>
      </c>
      <c r="K18" s="11" t="s">
        <v>6</v>
      </c>
      <c r="L18" s="12" t="s">
        <v>2</v>
      </c>
      <c r="M18" s="13">
        <v>0</v>
      </c>
      <c r="N18" s="27">
        <v>0</v>
      </c>
    </row>
    <row r="19" spans="1:14" s="10" customFormat="1" ht="13.8" x14ac:dyDescent="0.3">
      <c r="A19" s="29" t="s">
        <v>27</v>
      </c>
      <c r="B19" s="14">
        <v>5</v>
      </c>
      <c r="C19" s="15">
        <f>(Tabla15[[#This Row],[Aporte Individual]]*0.35)</f>
        <v>1.75</v>
      </c>
      <c r="D19" s="14">
        <v>7</v>
      </c>
      <c r="E19" s="15">
        <f>Tabla15[[#This Row],[Aporte Grupal]]*0.35</f>
        <v>2.4499999999999997</v>
      </c>
      <c r="F19" s="14">
        <v>6</v>
      </c>
      <c r="G19" s="15">
        <f>Tabla15[[#This Row],[Proyecto]]*0.1</f>
        <v>0.60000000000000009</v>
      </c>
      <c r="H19" s="14">
        <v>6</v>
      </c>
      <c r="I19" s="15">
        <f>Tabla15[[#This Row],[Examen]]*0.2</f>
        <v>1.2000000000000002</v>
      </c>
      <c r="J19" s="16">
        <f>SUM(Tabla15[[#This Row],[35%(Aporte Individual)]],Tabla15[[#This Row],[35%(Aporte Grupal)]],Tabla15[[#This Row],[10%(Proyecto)]],Tabla15[[#This Row],[20%(Examen)]])</f>
        <v>5.9999999999999991</v>
      </c>
      <c r="K19" s="11" t="s">
        <v>38</v>
      </c>
      <c r="L19" s="12" t="s">
        <v>2</v>
      </c>
      <c r="M19" s="13">
        <v>2</v>
      </c>
      <c r="N19" s="27">
        <v>1</v>
      </c>
    </row>
    <row r="20" spans="1:14" s="10" customFormat="1" ht="13.8" x14ac:dyDescent="0.3">
      <c r="A20" s="29" t="s">
        <v>16</v>
      </c>
      <c r="B20" s="14">
        <v>7.57</v>
      </c>
      <c r="C20" s="15">
        <f>(Tabla15[[#This Row],[Aporte Individual]]*0.35)</f>
        <v>2.6494999999999997</v>
      </c>
      <c r="D20" s="14">
        <v>6.5</v>
      </c>
      <c r="E20" s="15">
        <f>Tabla15[[#This Row],[Aporte Grupal]]*0.35</f>
        <v>2.2749999999999999</v>
      </c>
      <c r="F20" s="14">
        <v>10</v>
      </c>
      <c r="G20" s="15">
        <f>Tabla15[[#This Row],[Proyecto]]*0.1</f>
        <v>1</v>
      </c>
      <c r="H20" s="14">
        <v>7.5</v>
      </c>
      <c r="I20" s="15">
        <f>Tabla15[[#This Row],[Examen]]*0.2</f>
        <v>1.5</v>
      </c>
      <c r="J20" s="16">
        <f>SUM(Tabla15[[#This Row],[35%(Aporte Individual)]],Tabla15[[#This Row],[35%(Aporte Grupal)]],Tabla15[[#This Row],[10%(Proyecto)]],Tabla15[[#This Row],[20%(Examen)]])</f>
        <v>7.4245000000000001</v>
      </c>
      <c r="K20" s="11" t="s">
        <v>3</v>
      </c>
      <c r="L20" s="12" t="s">
        <v>2</v>
      </c>
      <c r="M20" s="13">
        <v>0</v>
      </c>
      <c r="N20" s="27">
        <v>0</v>
      </c>
    </row>
    <row r="21" spans="1:14" s="10" customFormat="1" ht="13.8" x14ac:dyDescent="0.3">
      <c r="A21" s="29" t="s">
        <v>19</v>
      </c>
      <c r="B21" s="14">
        <v>7.86</v>
      </c>
      <c r="C21" s="15">
        <f>(Tabla15[[#This Row],[Aporte Individual]]*0.35)</f>
        <v>2.7509999999999999</v>
      </c>
      <c r="D21" s="14">
        <v>7</v>
      </c>
      <c r="E21" s="15">
        <f>Tabla15[[#This Row],[Aporte Grupal]]*0.35</f>
        <v>2.4499999999999997</v>
      </c>
      <c r="F21" s="14">
        <v>9</v>
      </c>
      <c r="G21" s="15">
        <f>Tabla15[[#This Row],[Proyecto]]*0.1</f>
        <v>0.9</v>
      </c>
      <c r="H21" s="14">
        <v>9</v>
      </c>
      <c r="I21" s="15">
        <f>Tabla15[[#This Row],[Examen]]*0.2</f>
        <v>1.8</v>
      </c>
      <c r="J21" s="16">
        <f>SUM(Tabla15[[#This Row],[35%(Aporte Individual)]],Tabla15[[#This Row],[35%(Aporte Grupal)]],Tabla15[[#This Row],[10%(Proyecto)]],Tabla15[[#This Row],[20%(Examen)]])</f>
        <v>7.9009999999999998</v>
      </c>
      <c r="K21" s="11" t="s">
        <v>3</v>
      </c>
      <c r="L21" s="12" t="s">
        <v>2</v>
      </c>
      <c r="M21" s="13">
        <v>0</v>
      </c>
      <c r="N21" s="27">
        <v>0</v>
      </c>
    </row>
    <row r="22" spans="1:14" s="10" customFormat="1" ht="13.8" x14ac:dyDescent="0.3">
      <c r="A22" s="29" t="s">
        <v>28</v>
      </c>
      <c r="B22" s="14">
        <v>8.86</v>
      </c>
      <c r="C22" s="15">
        <f>(Tabla15[[#This Row],[Aporte Individual]]*0.35)</f>
        <v>3.1009999999999995</v>
      </c>
      <c r="D22" s="14">
        <v>6</v>
      </c>
      <c r="E22" s="15">
        <f>Tabla15[[#This Row],[Aporte Grupal]]*0.35</f>
        <v>2.0999999999999996</v>
      </c>
      <c r="F22" s="14">
        <v>10</v>
      </c>
      <c r="G22" s="15">
        <f>Tabla15[[#This Row],[Proyecto]]*0.1</f>
        <v>1</v>
      </c>
      <c r="H22" s="14">
        <v>7</v>
      </c>
      <c r="I22" s="15">
        <f>Tabla15[[#This Row],[Examen]]*0.2</f>
        <v>1.4000000000000001</v>
      </c>
      <c r="J22" s="16">
        <f>SUM(Tabla15[[#This Row],[35%(Aporte Individual)]],Tabla15[[#This Row],[35%(Aporte Grupal)]],Tabla15[[#This Row],[10%(Proyecto)]],Tabla15[[#This Row],[20%(Examen)]])</f>
        <v>7.6009999999999991</v>
      </c>
      <c r="K22" s="11" t="s">
        <v>3</v>
      </c>
      <c r="L22" s="12" t="s">
        <v>2</v>
      </c>
      <c r="M22" s="13">
        <v>1</v>
      </c>
      <c r="N22" s="27">
        <v>0</v>
      </c>
    </row>
    <row r="23" spans="1:14" s="10" customFormat="1" ht="13.8" x14ac:dyDescent="0.3">
      <c r="A23" s="29" t="s">
        <v>22</v>
      </c>
      <c r="B23" s="14">
        <v>8.7100000000000009</v>
      </c>
      <c r="C23" s="15">
        <f>(Tabla15[[#This Row],[Aporte Individual]]*0.35)</f>
        <v>3.0485000000000002</v>
      </c>
      <c r="D23" s="14">
        <v>5.5</v>
      </c>
      <c r="E23" s="15">
        <f>Tabla15[[#This Row],[Aporte Grupal]]*0.35</f>
        <v>1.9249999999999998</v>
      </c>
      <c r="F23" s="14">
        <v>10</v>
      </c>
      <c r="G23" s="15">
        <f>Tabla15[[#This Row],[Proyecto]]*0.1</f>
        <v>1</v>
      </c>
      <c r="H23" s="14">
        <v>7.5</v>
      </c>
      <c r="I23" s="15">
        <f>Tabla15[[#This Row],[Examen]]*0.2</f>
        <v>1.5</v>
      </c>
      <c r="J23" s="16">
        <f>SUM(Tabla15[[#This Row],[35%(Aporte Individual)]],Tabla15[[#This Row],[35%(Aporte Grupal)]],Tabla15[[#This Row],[10%(Proyecto)]],Tabla15[[#This Row],[20%(Examen)]])</f>
        <v>7.4734999999999996</v>
      </c>
      <c r="K23" s="11" t="s">
        <v>3</v>
      </c>
      <c r="L23" s="12" t="s">
        <v>2</v>
      </c>
      <c r="M23" s="13">
        <v>0</v>
      </c>
      <c r="N23" s="27">
        <v>0</v>
      </c>
    </row>
    <row r="24" spans="1:14" s="10" customFormat="1" ht="13.8" x14ac:dyDescent="0.3">
      <c r="A24" s="29" t="s">
        <v>32</v>
      </c>
      <c r="B24" s="14">
        <v>8.11</v>
      </c>
      <c r="C24" s="15">
        <f>(Tabla15[[#This Row],[Aporte Individual]]*0.35)</f>
        <v>2.8384999999999998</v>
      </c>
      <c r="D24" s="14">
        <v>8</v>
      </c>
      <c r="E24" s="15">
        <f>Tabla15[[#This Row],[Aporte Grupal]]*0.35</f>
        <v>2.8</v>
      </c>
      <c r="F24" s="14">
        <v>9</v>
      </c>
      <c r="G24" s="15">
        <f>Tabla15[[#This Row],[Proyecto]]*0.1</f>
        <v>0.9</v>
      </c>
      <c r="H24" s="14">
        <v>4</v>
      </c>
      <c r="I24" s="15">
        <f>Tabla15[[#This Row],[Examen]]*0.2</f>
        <v>0.8</v>
      </c>
      <c r="J24" s="16">
        <f>SUM(Tabla15[[#This Row],[35%(Aporte Individual)]],Tabla15[[#This Row],[35%(Aporte Grupal)]],Tabla15[[#This Row],[10%(Proyecto)]],Tabla15[[#This Row],[20%(Examen)]])</f>
        <v>7.3384999999999998</v>
      </c>
      <c r="K24" s="17" t="s">
        <v>3</v>
      </c>
      <c r="L24" s="18" t="s">
        <v>2</v>
      </c>
      <c r="M24" s="19">
        <v>0</v>
      </c>
      <c r="N24" s="28">
        <v>0</v>
      </c>
    </row>
    <row r="25" spans="1:14" s="10" customFormat="1" ht="13.8" x14ac:dyDescent="0.3">
      <c r="B25" s="20"/>
      <c r="C25" s="21"/>
      <c r="D25" s="20"/>
      <c r="E25" s="21"/>
      <c r="F25" s="20"/>
      <c r="G25" s="21"/>
      <c r="H25" s="20"/>
      <c r="I25" s="21"/>
      <c r="J25" s="22"/>
      <c r="K25" s="23"/>
      <c r="L25" s="24"/>
      <c r="M25" s="25"/>
      <c r="N25" s="25"/>
    </row>
    <row r="26" spans="1:14" s="10" customFormat="1" ht="13.8" x14ac:dyDescent="0.3">
      <c r="B26" s="20"/>
      <c r="C26" s="21"/>
      <c r="D26" s="20"/>
      <c r="E26" s="21"/>
      <c r="F26" s="20"/>
      <c r="G26" s="21"/>
      <c r="H26" s="20"/>
      <c r="I26" s="21"/>
      <c r="J26" s="22"/>
      <c r="K26" s="23"/>
      <c r="L26" s="24"/>
      <c r="M26" s="25"/>
      <c r="N26" s="25"/>
    </row>
    <row r="27" spans="1:14" s="10" customFormat="1" ht="13.8" x14ac:dyDescent="0.3">
      <c r="B27" s="20"/>
      <c r="C27" s="21"/>
      <c r="D27" s="20"/>
      <c r="E27" s="21"/>
      <c r="F27" s="20"/>
      <c r="G27" s="21"/>
      <c r="H27" s="20"/>
      <c r="I27" s="21"/>
      <c r="J27" s="22"/>
      <c r="K27" s="23"/>
      <c r="L27" s="24"/>
      <c r="M27" s="25"/>
      <c r="N27" s="25"/>
    </row>
    <row r="28" spans="1:14" s="10" customFormat="1" ht="13.8" x14ac:dyDescent="0.3">
      <c r="B28" s="20"/>
      <c r="C28" s="21"/>
      <c r="D28" s="20"/>
      <c r="E28" s="21"/>
      <c r="F28" s="20"/>
      <c r="G28" s="21"/>
      <c r="H28" s="20"/>
      <c r="I28" s="21"/>
      <c r="J28" s="22"/>
      <c r="K28" s="23"/>
      <c r="L28" s="24"/>
      <c r="M28" s="25"/>
      <c r="N28" s="25"/>
    </row>
    <row r="29" spans="1:14" s="10" customFormat="1" ht="13.8" x14ac:dyDescent="0.3">
      <c r="B29" s="20"/>
      <c r="C29" s="21"/>
      <c r="D29" s="20"/>
      <c r="E29" s="21"/>
      <c r="F29" s="20"/>
      <c r="G29" s="21"/>
      <c r="H29" s="20"/>
      <c r="I29" s="21"/>
      <c r="J29" s="22"/>
      <c r="K29" s="23"/>
      <c r="L29" s="24"/>
      <c r="M29" s="25"/>
      <c r="N29" s="25"/>
    </row>
    <row r="30" spans="1:14" s="10" customFormat="1" ht="13.8" x14ac:dyDescent="0.3">
      <c r="B30" s="20"/>
      <c r="C30" s="21"/>
      <c r="D30" s="20"/>
      <c r="E30" s="21"/>
      <c r="F30" s="20"/>
      <c r="G30" s="21"/>
      <c r="H30" s="20"/>
      <c r="I30" s="21"/>
      <c r="J30" s="22"/>
      <c r="K30" s="23"/>
      <c r="L30" s="24"/>
      <c r="M30" s="25"/>
      <c r="N30" s="25"/>
    </row>
    <row r="31" spans="1:14" s="10" customFormat="1" ht="13.8" x14ac:dyDescent="0.3">
      <c r="B31" s="20"/>
      <c r="C31" s="21"/>
      <c r="D31" s="20"/>
      <c r="E31" s="21"/>
      <c r="F31" s="20"/>
      <c r="G31" s="21"/>
      <c r="H31" s="20"/>
      <c r="I31" s="21"/>
      <c r="J31" s="22"/>
      <c r="K31" s="23"/>
      <c r="L31" s="24"/>
      <c r="M31" s="25"/>
      <c r="N31" s="25"/>
    </row>
    <row r="32" spans="1:14" s="10" customFormat="1" ht="13.8" x14ac:dyDescent="0.3">
      <c r="B32" s="20"/>
      <c r="C32" s="21"/>
      <c r="D32" s="20"/>
      <c r="E32" s="21"/>
      <c r="F32" s="20"/>
      <c r="G32" s="21"/>
      <c r="H32" s="20"/>
      <c r="I32" s="21"/>
      <c r="J32" s="22"/>
      <c r="K32" s="23"/>
      <c r="L32" s="24"/>
      <c r="M32" s="25"/>
      <c r="N32" s="25"/>
    </row>
    <row r="33" spans="2:14" s="10" customFormat="1" ht="13.8" x14ac:dyDescent="0.3">
      <c r="B33" s="20"/>
      <c r="C33" s="21"/>
      <c r="D33" s="20"/>
      <c r="E33" s="21"/>
      <c r="F33" s="20"/>
      <c r="G33" s="21"/>
      <c r="H33" s="20"/>
      <c r="I33" s="21"/>
      <c r="J33" s="22"/>
      <c r="K33" s="23"/>
      <c r="L33" s="24"/>
      <c r="M33" s="25"/>
      <c r="N33" s="25"/>
    </row>
    <row r="34" spans="2:14" s="10" customFormat="1" ht="13.8" x14ac:dyDescent="0.3">
      <c r="B34" s="20"/>
      <c r="C34" s="21"/>
      <c r="D34" s="20"/>
      <c r="E34" s="21"/>
      <c r="F34" s="20"/>
      <c r="G34" s="21"/>
      <c r="H34" s="20"/>
      <c r="I34" s="21"/>
      <c r="J34" s="22"/>
      <c r="K34" s="23"/>
      <c r="L34" s="24"/>
      <c r="M34" s="25"/>
      <c r="N34" s="25"/>
    </row>
    <row r="35" spans="2:14" s="10" customFormat="1" ht="13.8" x14ac:dyDescent="0.3">
      <c r="B35" s="20"/>
      <c r="C35" s="21"/>
      <c r="D35" s="20"/>
      <c r="E35" s="21"/>
      <c r="F35" s="20"/>
      <c r="G35" s="21"/>
      <c r="H35" s="20"/>
      <c r="I35" s="21"/>
      <c r="J35" s="22"/>
      <c r="K35" s="23"/>
      <c r="L35" s="24"/>
      <c r="M35" s="25"/>
      <c r="N35" s="25"/>
    </row>
    <row r="36" spans="2:14" s="10" customFormat="1" ht="13.8" x14ac:dyDescent="0.3">
      <c r="B36" s="20"/>
      <c r="C36" s="21"/>
      <c r="D36" s="20"/>
      <c r="E36" s="21"/>
      <c r="F36" s="20"/>
      <c r="G36" s="21"/>
      <c r="H36" s="20"/>
      <c r="I36" s="21"/>
      <c r="J36" s="22"/>
      <c r="K36" s="23"/>
      <c r="L36" s="24"/>
      <c r="M36" s="25"/>
      <c r="N36" s="25"/>
    </row>
    <row r="37" spans="2:14" s="10" customFormat="1" ht="13.8" x14ac:dyDescent="0.3">
      <c r="B37" s="20"/>
      <c r="C37" s="21"/>
      <c r="D37" s="20"/>
      <c r="E37" s="21"/>
      <c r="F37" s="20"/>
      <c r="G37" s="21"/>
      <c r="H37" s="20"/>
      <c r="I37" s="21"/>
      <c r="J37" s="22"/>
      <c r="K37" s="23"/>
      <c r="L37" s="24"/>
      <c r="M37" s="25"/>
      <c r="N37" s="25"/>
    </row>
    <row r="38" spans="2:14" s="10" customFormat="1" ht="13.8" x14ac:dyDescent="0.3">
      <c r="B38" s="20"/>
      <c r="C38" s="21"/>
      <c r="D38" s="20"/>
      <c r="E38" s="21"/>
      <c r="F38" s="20"/>
      <c r="G38" s="21"/>
      <c r="H38" s="20"/>
      <c r="I38" s="21"/>
      <c r="J38" s="22"/>
      <c r="K38" s="23"/>
      <c r="L38" s="24"/>
      <c r="M38" s="25"/>
      <c r="N38" s="25"/>
    </row>
    <row r="39" spans="2:14" s="10" customFormat="1" ht="13.8" x14ac:dyDescent="0.3">
      <c r="B39" s="20"/>
      <c r="C39" s="21"/>
      <c r="D39" s="20"/>
      <c r="E39" s="21"/>
      <c r="F39" s="20"/>
      <c r="G39" s="21"/>
      <c r="H39" s="20"/>
      <c r="I39" s="21"/>
      <c r="J39" s="22"/>
      <c r="K39" s="23"/>
      <c r="L39" s="24"/>
      <c r="M39" s="25"/>
      <c r="N39" s="25"/>
    </row>
    <row r="40" spans="2:14" s="10" customFormat="1" ht="13.8" x14ac:dyDescent="0.3">
      <c r="B40" s="20"/>
      <c r="C40" s="21"/>
      <c r="D40" s="20"/>
      <c r="E40" s="21"/>
      <c r="F40" s="20"/>
      <c r="G40" s="21"/>
      <c r="H40" s="20"/>
      <c r="I40" s="21"/>
      <c r="J40" s="22"/>
      <c r="K40" s="23"/>
      <c r="L40" s="24"/>
      <c r="M40" s="25"/>
      <c r="N40" s="25"/>
    </row>
    <row r="41" spans="2:14" s="10" customFormat="1" ht="13.8" x14ac:dyDescent="0.3">
      <c r="B41" s="20"/>
      <c r="C41" s="21"/>
      <c r="D41" s="20"/>
      <c r="E41" s="21"/>
      <c r="F41" s="20"/>
      <c r="G41" s="21"/>
      <c r="H41" s="20"/>
      <c r="I41" s="21"/>
      <c r="J41" s="22"/>
      <c r="K41" s="23"/>
      <c r="L41" s="24"/>
      <c r="M41" s="25"/>
      <c r="N41" s="25"/>
    </row>
    <row r="42" spans="2:14" s="10" customFormat="1" ht="13.8" x14ac:dyDescent="0.3">
      <c r="B42" s="20"/>
      <c r="C42" s="21"/>
      <c r="D42" s="20"/>
      <c r="E42" s="21"/>
      <c r="F42" s="20"/>
      <c r="G42" s="21"/>
      <c r="H42" s="20"/>
      <c r="I42" s="21"/>
      <c r="J42" s="22"/>
      <c r="K42" s="23"/>
      <c r="L42" s="24"/>
      <c r="M42" s="25"/>
      <c r="N42" s="25"/>
    </row>
    <row r="43" spans="2:14" s="10" customFormat="1" ht="13.8" x14ac:dyDescent="0.3">
      <c r="B43" s="20"/>
      <c r="C43" s="21"/>
      <c r="D43" s="20"/>
      <c r="E43" s="21"/>
      <c r="F43" s="20"/>
      <c r="G43" s="21"/>
      <c r="H43" s="20"/>
      <c r="I43" s="21"/>
      <c r="J43" s="22"/>
      <c r="K43" s="23"/>
      <c r="L43" s="24"/>
      <c r="M43" s="25"/>
      <c r="N43" s="25"/>
    </row>
    <row r="44" spans="2:14" s="10" customFormat="1" ht="13.8" x14ac:dyDescent="0.3">
      <c r="B44" s="20"/>
      <c r="C44" s="21"/>
      <c r="D44" s="20"/>
      <c r="E44" s="21"/>
      <c r="F44" s="20"/>
      <c r="G44" s="21"/>
      <c r="H44" s="20"/>
      <c r="I44" s="21"/>
      <c r="J44" s="22"/>
      <c r="K44" s="23"/>
      <c r="L44" s="24"/>
      <c r="M44" s="25"/>
      <c r="N44" s="25"/>
    </row>
    <row r="45" spans="2:14" s="10" customFormat="1" ht="13.8" x14ac:dyDescent="0.3">
      <c r="B45" s="20"/>
      <c r="C45" s="21"/>
      <c r="D45" s="20"/>
      <c r="E45" s="21"/>
      <c r="F45" s="20"/>
      <c r="G45" s="21"/>
      <c r="H45" s="20"/>
      <c r="I45" s="21"/>
      <c r="J45" s="22"/>
      <c r="K45" s="23"/>
      <c r="L45" s="24"/>
      <c r="M45" s="25"/>
      <c r="N45" s="25"/>
    </row>
    <row r="46" spans="2:14" s="10" customFormat="1" ht="13.8" x14ac:dyDescent="0.3">
      <c r="B46" s="20"/>
      <c r="C46" s="21"/>
      <c r="D46" s="20"/>
      <c r="E46" s="21"/>
      <c r="F46" s="20"/>
      <c r="G46" s="21"/>
      <c r="H46" s="20"/>
      <c r="I46" s="21"/>
      <c r="J46" s="22"/>
      <c r="K46" s="23"/>
      <c r="L46" s="24"/>
      <c r="M46" s="25"/>
      <c r="N46" s="25"/>
    </row>
    <row r="47" spans="2:14" s="10" customFormat="1" ht="13.8" x14ac:dyDescent="0.3">
      <c r="B47" s="20"/>
      <c r="C47" s="21"/>
      <c r="D47" s="20"/>
      <c r="E47" s="21"/>
      <c r="F47" s="20"/>
      <c r="G47" s="21"/>
      <c r="H47" s="20"/>
      <c r="I47" s="21"/>
      <c r="J47" s="22"/>
      <c r="K47" s="23"/>
      <c r="L47" s="24"/>
      <c r="M47" s="25"/>
      <c r="N47" s="25"/>
    </row>
    <row r="48" spans="2:14" s="10" customFormat="1" ht="13.8" x14ac:dyDescent="0.3">
      <c r="B48" s="20"/>
      <c r="C48" s="21"/>
      <c r="D48" s="20"/>
      <c r="E48" s="21"/>
      <c r="F48" s="20"/>
      <c r="G48" s="21"/>
      <c r="H48" s="20"/>
      <c r="I48" s="21"/>
      <c r="J48" s="22"/>
      <c r="K48" s="23"/>
      <c r="L48" s="24"/>
      <c r="M48" s="25"/>
      <c r="N48" s="25"/>
    </row>
    <row r="49" spans="2:14" s="10" customFormat="1" ht="13.8" x14ac:dyDescent="0.3">
      <c r="B49" s="20"/>
      <c r="C49" s="21"/>
      <c r="D49" s="20"/>
      <c r="E49" s="21"/>
      <c r="F49" s="20"/>
      <c r="G49" s="21"/>
      <c r="H49" s="20"/>
      <c r="I49" s="21"/>
      <c r="J49" s="22"/>
      <c r="K49" s="23"/>
      <c r="L49" s="24"/>
      <c r="M49" s="25"/>
      <c r="N49" s="25"/>
    </row>
    <row r="50" spans="2:14" s="10" customFormat="1" ht="13.8" x14ac:dyDescent="0.3">
      <c r="B50" s="20"/>
      <c r="C50" s="21"/>
      <c r="D50" s="20"/>
      <c r="E50" s="21"/>
      <c r="F50" s="20"/>
      <c r="G50" s="21"/>
      <c r="H50" s="20"/>
      <c r="I50" s="21"/>
      <c r="J50" s="22"/>
      <c r="K50" s="23"/>
      <c r="L50" s="24"/>
      <c r="M50" s="25"/>
      <c r="N50" s="25"/>
    </row>
    <row r="51" spans="2:14" s="10" customFormat="1" ht="13.8" x14ac:dyDescent="0.3">
      <c r="B51" s="20"/>
      <c r="C51" s="21"/>
      <c r="D51" s="20"/>
      <c r="E51" s="21"/>
      <c r="F51" s="20"/>
      <c r="G51" s="21"/>
      <c r="H51" s="20"/>
      <c r="I51" s="21"/>
      <c r="J51" s="22"/>
      <c r="K51" s="23"/>
      <c r="L51" s="24"/>
      <c r="M51" s="25"/>
      <c r="N51" s="25"/>
    </row>
    <row r="52" spans="2:14" s="10" customFormat="1" ht="13.8" x14ac:dyDescent="0.3">
      <c r="B52" s="20"/>
      <c r="C52" s="21"/>
      <c r="D52" s="20"/>
      <c r="E52" s="21"/>
      <c r="F52" s="20"/>
      <c r="G52" s="21"/>
      <c r="H52" s="20"/>
      <c r="I52" s="21"/>
      <c r="J52" s="22"/>
      <c r="K52" s="23"/>
      <c r="L52" s="24"/>
      <c r="M52" s="25"/>
      <c r="N52" s="25"/>
    </row>
    <row r="53" spans="2:14" s="10" customFormat="1" ht="13.8" x14ac:dyDescent="0.3">
      <c r="B53" s="20"/>
      <c r="C53" s="21"/>
      <c r="D53" s="20"/>
      <c r="E53" s="21"/>
      <c r="F53" s="20"/>
      <c r="G53" s="21"/>
      <c r="H53" s="20"/>
      <c r="I53" s="21"/>
      <c r="J53" s="22"/>
      <c r="K53" s="23"/>
      <c r="L53" s="24"/>
      <c r="M53" s="25"/>
      <c r="N53" s="25"/>
    </row>
    <row r="54" spans="2:14" s="10" customFormat="1" ht="13.8" x14ac:dyDescent="0.3">
      <c r="B54" s="20"/>
      <c r="C54" s="21"/>
      <c r="D54" s="20"/>
      <c r="E54" s="21"/>
      <c r="F54" s="20"/>
      <c r="G54" s="21"/>
      <c r="H54" s="20"/>
      <c r="I54" s="21"/>
      <c r="J54" s="22"/>
      <c r="K54" s="23"/>
      <c r="L54" s="24"/>
      <c r="M54" s="25"/>
      <c r="N54" s="25"/>
    </row>
    <row r="55" spans="2:14" s="10" customFormat="1" ht="13.8" x14ac:dyDescent="0.3">
      <c r="B55" s="20"/>
      <c r="C55" s="21"/>
      <c r="D55" s="20"/>
      <c r="E55" s="21"/>
      <c r="F55" s="20"/>
      <c r="G55" s="21"/>
      <c r="H55" s="20"/>
      <c r="I55" s="21"/>
      <c r="J55" s="22"/>
      <c r="K55" s="23"/>
      <c r="L55" s="24"/>
      <c r="M55" s="25"/>
      <c r="N55" s="25"/>
    </row>
    <row r="56" spans="2:14" s="10" customFormat="1" ht="13.8" x14ac:dyDescent="0.3">
      <c r="B56" s="20"/>
      <c r="C56" s="21"/>
      <c r="D56" s="20"/>
      <c r="E56" s="21"/>
      <c r="F56" s="20"/>
      <c r="G56" s="21"/>
      <c r="H56" s="20"/>
      <c r="I56" s="21"/>
      <c r="J56" s="22"/>
      <c r="K56" s="23"/>
      <c r="L56" s="24"/>
      <c r="M56" s="25"/>
      <c r="N56" s="25"/>
    </row>
    <row r="57" spans="2:14" s="10" customFormat="1" ht="13.8" x14ac:dyDescent="0.3">
      <c r="B57" s="20"/>
      <c r="C57" s="21"/>
      <c r="D57" s="20"/>
      <c r="E57" s="21"/>
      <c r="F57" s="20"/>
      <c r="G57" s="21"/>
      <c r="H57" s="20"/>
      <c r="I57" s="21"/>
      <c r="J57" s="22"/>
      <c r="K57" s="23"/>
      <c r="L57" s="24"/>
      <c r="M57" s="25"/>
      <c r="N57" s="25"/>
    </row>
    <row r="58" spans="2:14" s="10" customFormat="1" ht="13.8" x14ac:dyDescent="0.3">
      <c r="B58" s="20"/>
      <c r="C58" s="21"/>
      <c r="D58" s="20"/>
      <c r="E58" s="21"/>
      <c r="F58" s="20"/>
      <c r="G58" s="21"/>
      <c r="H58" s="20"/>
      <c r="I58" s="21"/>
      <c r="J58" s="22"/>
      <c r="K58" s="23"/>
      <c r="L58" s="24"/>
      <c r="M58" s="25"/>
      <c r="N58" s="25"/>
    </row>
    <row r="59" spans="2:14" s="10" customFormat="1" ht="13.8" x14ac:dyDescent="0.3">
      <c r="B59" s="20"/>
      <c r="C59" s="21"/>
      <c r="D59" s="20"/>
      <c r="E59" s="21"/>
      <c r="F59" s="20"/>
      <c r="G59" s="21"/>
      <c r="H59" s="20"/>
      <c r="I59" s="21"/>
      <c r="J59" s="22"/>
      <c r="K59" s="23"/>
      <c r="L59" s="24"/>
      <c r="M59" s="25"/>
      <c r="N59" s="25"/>
    </row>
    <row r="60" spans="2:14" s="10" customFormat="1" ht="13.8" x14ac:dyDescent="0.3">
      <c r="B60" s="20"/>
      <c r="C60" s="21"/>
      <c r="D60" s="20"/>
      <c r="E60" s="21"/>
      <c r="F60" s="20"/>
      <c r="G60" s="21"/>
      <c r="H60" s="20"/>
      <c r="I60" s="21"/>
      <c r="J60" s="22"/>
      <c r="K60" s="23"/>
      <c r="L60" s="24"/>
      <c r="M60" s="25"/>
      <c r="N60" s="25"/>
    </row>
    <row r="61" spans="2:14" s="10" customFormat="1" ht="13.8" x14ac:dyDescent="0.3">
      <c r="B61" s="20"/>
      <c r="C61" s="21"/>
      <c r="D61" s="20"/>
      <c r="E61" s="21"/>
      <c r="F61" s="20"/>
      <c r="G61" s="21"/>
      <c r="H61" s="20"/>
      <c r="I61" s="21"/>
      <c r="J61" s="22"/>
      <c r="K61" s="23"/>
      <c r="L61" s="24"/>
      <c r="M61" s="25"/>
      <c r="N61" s="25"/>
    </row>
    <row r="62" spans="2:14" s="10" customFormat="1" ht="13.8" x14ac:dyDescent="0.3">
      <c r="B62" s="20"/>
      <c r="C62" s="21"/>
      <c r="D62" s="20"/>
      <c r="E62" s="21"/>
      <c r="F62" s="20"/>
      <c r="G62" s="21"/>
      <c r="H62" s="20"/>
      <c r="I62" s="21"/>
      <c r="J62" s="22"/>
      <c r="K62" s="23"/>
      <c r="L62" s="24"/>
      <c r="M62" s="25"/>
      <c r="N62" s="25"/>
    </row>
    <row r="63" spans="2:14" s="10" customFormat="1" ht="13.8" x14ac:dyDescent="0.3">
      <c r="B63" s="20"/>
      <c r="C63" s="21"/>
      <c r="D63" s="20"/>
      <c r="E63" s="21"/>
      <c r="F63" s="20"/>
      <c r="G63" s="21"/>
      <c r="H63" s="20"/>
      <c r="I63" s="21"/>
      <c r="J63" s="22"/>
      <c r="K63" s="23"/>
      <c r="L63" s="24"/>
      <c r="M63" s="25"/>
      <c r="N63" s="25"/>
    </row>
    <row r="64" spans="2:14" s="10" customFormat="1" ht="13.8" x14ac:dyDescent="0.3">
      <c r="B64" s="20"/>
      <c r="C64" s="21"/>
      <c r="D64" s="20"/>
      <c r="E64" s="21"/>
      <c r="F64" s="20"/>
      <c r="G64" s="21"/>
      <c r="H64" s="20"/>
      <c r="I64" s="21"/>
      <c r="J64" s="22"/>
      <c r="K64" s="23"/>
      <c r="L64" s="24"/>
      <c r="M64" s="25"/>
      <c r="N64" s="25"/>
    </row>
    <row r="65" spans="2:14" s="10" customFormat="1" ht="13.8" x14ac:dyDescent="0.3">
      <c r="B65" s="20"/>
      <c r="C65" s="21"/>
      <c r="D65" s="20"/>
      <c r="E65" s="21"/>
      <c r="F65" s="20"/>
      <c r="G65" s="21"/>
      <c r="H65" s="20"/>
      <c r="I65" s="21"/>
      <c r="J65" s="22"/>
      <c r="K65" s="23"/>
      <c r="L65" s="24"/>
      <c r="M65" s="25"/>
      <c r="N65" s="25"/>
    </row>
    <row r="66" spans="2:14" s="10" customFormat="1" ht="13.8" x14ac:dyDescent="0.3">
      <c r="B66" s="20"/>
      <c r="C66" s="21"/>
      <c r="D66" s="20"/>
      <c r="E66" s="21"/>
      <c r="F66" s="20"/>
      <c r="G66" s="21"/>
      <c r="H66" s="20"/>
      <c r="I66" s="21"/>
      <c r="J66" s="22"/>
      <c r="K66" s="23"/>
      <c r="L66" s="24"/>
      <c r="M66" s="25"/>
      <c r="N66" s="25"/>
    </row>
    <row r="67" spans="2:14" s="10" customFormat="1" ht="13.8" x14ac:dyDescent="0.3">
      <c r="B67" s="20"/>
      <c r="C67" s="21"/>
      <c r="D67" s="20"/>
      <c r="E67" s="21"/>
      <c r="F67" s="20"/>
      <c r="G67" s="21"/>
      <c r="H67" s="20"/>
      <c r="I67" s="21"/>
      <c r="J67" s="22"/>
      <c r="K67" s="23"/>
      <c r="L67" s="24"/>
      <c r="M67" s="25"/>
      <c r="N67" s="25"/>
    </row>
    <row r="68" spans="2:14" s="10" customFormat="1" ht="13.8" x14ac:dyDescent="0.3">
      <c r="B68" s="20"/>
      <c r="C68" s="21"/>
      <c r="D68" s="20"/>
      <c r="E68" s="21"/>
      <c r="F68" s="20"/>
      <c r="G68" s="21"/>
      <c r="H68" s="20"/>
      <c r="I68" s="21"/>
      <c r="J68" s="22"/>
      <c r="K68" s="23"/>
      <c r="L68" s="24"/>
      <c r="M68" s="25"/>
      <c r="N68" s="25"/>
    </row>
    <row r="69" spans="2:14" s="10" customFormat="1" ht="13.8" x14ac:dyDescent="0.3">
      <c r="B69" s="20"/>
      <c r="C69" s="21"/>
      <c r="D69" s="20"/>
      <c r="E69" s="21"/>
      <c r="F69" s="20"/>
      <c r="G69" s="21"/>
      <c r="H69" s="20"/>
      <c r="I69" s="21"/>
      <c r="J69" s="22"/>
      <c r="K69" s="23"/>
      <c r="L69" s="24"/>
      <c r="M69" s="25"/>
      <c r="N69" s="25"/>
    </row>
    <row r="70" spans="2:14" s="10" customFormat="1" ht="13.8" x14ac:dyDescent="0.3">
      <c r="B70" s="20"/>
      <c r="C70" s="21"/>
      <c r="D70" s="20"/>
      <c r="E70" s="21"/>
      <c r="F70" s="20"/>
      <c r="G70" s="21"/>
      <c r="H70" s="20"/>
      <c r="I70" s="21"/>
      <c r="J70" s="22"/>
      <c r="K70" s="23"/>
      <c r="L70" s="24"/>
      <c r="M70" s="25"/>
      <c r="N70" s="25"/>
    </row>
    <row r="71" spans="2:14" s="10" customFormat="1" ht="13.8" x14ac:dyDescent="0.3">
      <c r="B71" s="20"/>
      <c r="C71" s="21"/>
      <c r="D71" s="20"/>
      <c r="E71" s="21"/>
      <c r="F71" s="20"/>
      <c r="G71" s="21"/>
      <c r="H71" s="20"/>
      <c r="I71" s="21"/>
      <c r="J71" s="22"/>
      <c r="K71" s="23"/>
      <c r="L71" s="24"/>
      <c r="M71" s="25"/>
      <c r="N71" s="25"/>
    </row>
    <row r="72" spans="2:14" s="10" customFormat="1" ht="13.8" x14ac:dyDescent="0.3">
      <c r="B72" s="20"/>
      <c r="C72" s="21"/>
      <c r="D72" s="20"/>
      <c r="E72" s="21"/>
      <c r="F72" s="20"/>
      <c r="G72" s="21"/>
      <c r="H72" s="20"/>
      <c r="I72" s="21"/>
      <c r="J72" s="22"/>
      <c r="K72" s="23"/>
      <c r="L72" s="24"/>
      <c r="M72" s="25"/>
      <c r="N72" s="25"/>
    </row>
    <row r="73" spans="2:14" s="10" customFormat="1" ht="13.8" x14ac:dyDescent="0.3">
      <c r="B73" s="20"/>
      <c r="C73" s="21"/>
      <c r="D73" s="20"/>
      <c r="E73" s="21"/>
      <c r="F73" s="20"/>
      <c r="G73" s="21"/>
      <c r="H73" s="20"/>
      <c r="I73" s="21"/>
      <c r="J73" s="22"/>
      <c r="K73" s="23"/>
      <c r="L73" s="24"/>
      <c r="M73" s="25"/>
      <c r="N73" s="25"/>
    </row>
    <row r="74" spans="2:14" s="10" customFormat="1" ht="13.8" x14ac:dyDescent="0.3">
      <c r="B74" s="20"/>
      <c r="C74" s="21"/>
      <c r="D74" s="20"/>
      <c r="E74" s="21"/>
      <c r="F74" s="20"/>
      <c r="G74" s="21"/>
      <c r="H74" s="20"/>
      <c r="I74" s="21"/>
      <c r="J74" s="22"/>
      <c r="K74" s="23"/>
      <c r="L74" s="24"/>
      <c r="M74" s="25"/>
      <c r="N74" s="25"/>
    </row>
    <row r="75" spans="2:14" s="10" customFormat="1" ht="13.8" x14ac:dyDescent="0.3">
      <c r="B75" s="20"/>
      <c r="C75" s="21"/>
      <c r="D75" s="20"/>
      <c r="E75" s="21"/>
      <c r="F75" s="20"/>
      <c r="G75" s="21"/>
      <c r="H75" s="20"/>
      <c r="I75" s="21"/>
      <c r="J75" s="22"/>
      <c r="K75" s="23"/>
      <c r="L75" s="24"/>
      <c r="M75" s="25"/>
      <c r="N75" s="25"/>
    </row>
    <row r="76" spans="2:14" s="10" customFormat="1" ht="13.8" x14ac:dyDescent="0.3">
      <c r="B76" s="20"/>
      <c r="C76" s="21"/>
      <c r="D76" s="20"/>
      <c r="E76" s="21"/>
      <c r="F76" s="20"/>
      <c r="G76" s="21"/>
      <c r="H76" s="20"/>
      <c r="I76" s="21"/>
      <c r="J76" s="22"/>
      <c r="K76" s="23"/>
      <c r="L76" s="24"/>
      <c r="M76" s="25"/>
      <c r="N76" s="25"/>
    </row>
    <row r="77" spans="2:14" s="10" customFormat="1" ht="13.8" x14ac:dyDescent="0.3">
      <c r="B77" s="20"/>
      <c r="C77" s="21"/>
      <c r="D77" s="20"/>
      <c r="E77" s="21"/>
      <c r="F77" s="20"/>
      <c r="G77" s="21"/>
      <c r="H77" s="20"/>
      <c r="I77" s="21"/>
      <c r="J77" s="22"/>
      <c r="K77" s="23"/>
      <c r="L77" s="24"/>
      <c r="M77" s="25"/>
      <c r="N77" s="25"/>
    </row>
    <row r="78" spans="2:14" s="10" customFormat="1" ht="13.8" x14ac:dyDescent="0.3">
      <c r="B78" s="20"/>
      <c r="C78" s="21"/>
      <c r="D78" s="20"/>
      <c r="E78" s="21"/>
      <c r="F78" s="20"/>
      <c r="G78" s="21"/>
      <c r="H78" s="20"/>
      <c r="I78" s="21"/>
      <c r="J78" s="22"/>
      <c r="K78" s="23"/>
      <c r="L78" s="24"/>
      <c r="M78" s="25"/>
      <c r="N78" s="25"/>
    </row>
    <row r="79" spans="2:14" s="10" customFormat="1" ht="13.8" x14ac:dyDescent="0.3">
      <c r="B79" s="20"/>
      <c r="C79" s="21"/>
      <c r="D79" s="20"/>
      <c r="E79" s="21"/>
      <c r="F79" s="20"/>
      <c r="G79" s="21"/>
      <c r="H79" s="20"/>
      <c r="I79" s="21"/>
      <c r="J79" s="22"/>
      <c r="K79" s="23"/>
      <c r="L79" s="24"/>
      <c r="M79" s="25"/>
      <c r="N79" s="25"/>
    </row>
    <row r="80" spans="2:14" s="10" customFormat="1" ht="13.8" x14ac:dyDescent="0.3">
      <c r="B80" s="20"/>
      <c r="C80" s="21"/>
      <c r="D80" s="20"/>
      <c r="E80" s="21"/>
      <c r="F80" s="20"/>
      <c r="G80" s="21"/>
      <c r="H80" s="20"/>
      <c r="I80" s="21"/>
      <c r="J80" s="22"/>
      <c r="K80" s="23"/>
      <c r="L80" s="24"/>
      <c r="M80" s="25"/>
      <c r="N80" s="25"/>
    </row>
    <row r="81" spans="2:14" s="10" customFormat="1" ht="13.8" x14ac:dyDescent="0.3">
      <c r="B81" s="20"/>
      <c r="C81" s="21"/>
      <c r="D81" s="20"/>
      <c r="E81" s="21"/>
      <c r="F81" s="20"/>
      <c r="G81" s="21"/>
      <c r="H81" s="20"/>
      <c r="I81" s="21"/>
      <c r="J81" s="22"/>
      <c r="K81" s="23"/>
      <c r="L81" s="24"/>
      <c r="M81" s="25"/>
      <c r="N81" s="25"/>
    </row>
    <row r="82" spans="2:14" s="10" customFormat="1" ht="13.8" x14ac:dyDescent="0.3">
      <c r="B82" s="20"/>
      <c r="C82" s="21"/>
      <c r="D82" s="20"/>
      <c r="E82" s="21"/>
      <c r="F82" s="20"/>
      <c r="G82" s="21"/>
      <c r="H82" s="20"/>
      <c r="I82" s="21"/>
      <c r="J82" s="22"/>
      <c r="K82" s="23"/>
      <c r="L82" s="24"/>
      <c r="M82" s="25"/>
      <c r="N82" s="25"/>
    </row>
    <row r="83" spans="2:14" s="10" customFormat="1" ht="13.8" x14ac:dyDescent="0.3">
      <c r="B83" s="20"/>
      <c r="C83" s="21"/>
      <c r="D83" s="20"/>
      <c r="E83" s="21"/>
      <c r="F83" s="20"/>
      <c r="G83" s="21"/>
      <c r="H83" s="20"/>
      <c r="I83" s="21"/>
      <c r="J83" s="22"/>
      <c r="K83" s="23"/>
      <c r="L83" s="24"/>
      <c r="M83" s="25"/>
      <c r="N83" s="25"/>
    </row>
    <row r="84" spans="2:14" s="10" customFormat="1" ht="13.8" x14ac:dyDescent="0.3">
      <c r="B84" s="20"/>
      <c r="C84" s="21"/>
      <c r="D84" s="20"/>
      <c r="E84" s="21"/>
      <c r="F84" s="20"/>
      <c r="G84" s="21"/>
      <c r="H84" s="20"/>
      <c r="I84" s="21"/>
      <c r="J84" s="22"/>
      <c r="K84" s="23"/>
      <c r="L84" s="24"/>
      <c r="M84" s="25"/>
      <c r="N84" s="25"/>
    </row>
    <row r="85" spans="2:14" s="10" customFormat="1" ht="13.8" x14ac:dyDescent="0.3">
      <c r="B85" s="20"/>
      <c r="C85" s="21"/>
      <c r="D85" s="20"/>
      <c r="E85" s="21"/>
      <c r="F85" s="20"/>
      <c r="G85" s="21"/>
      <c r="H85" s="20"/>
      <c r="I85" s="21"/>
      <c r="J85" s="22"/>
      <c r="K85" s="23"/>
      <c r="L85" s="24"/>
      <c r="M85" s="25"/>
      <c r="N85" s="25"/>
    </row>
    <row r="86" spans="2:14" s="10" customFormat="1" ht="13.8" x14ac:dyDescent="0.3">
      <c r="B86" s="20"/>
      <c r="C86" s="21"/>
      <c r="D86" s="20"/>
      <c r="E86" s="21"/>
      <c r="F86" s="20"/>
      <c r="G86" s="21"/>
      <c r="H86" s="20"/>
      <c r="I86" s="21"/>
      <c r="J86" s="22"/>
      <c r="K86" s="23"/>
      <c r="L86" s="24"/>
      <c r="M86" s="25"/>
      <c r="N86" s="25"/>
    </row>
    <row r="87" spans="2:14" s="10" customFormat="1" ht="13.8" x14ac:dyDescent="0.3">
      <c r="B87" s="20"/>
      <c r="C87" s="21"/>
      <c r="D87" s="20"/>
      <c r="E87" s="21"/>
      <c r="F87" s="20"/>
      <c r="G87" s="21"/>
      <c r="H87" s="20"/>
      <c r="I87" s="21"/>
      <c r="J87" s="22"/>
      <c r="K87" s="23"/>
      <c r="L87" s="24"/>
      <c r="M87" s="25"/>
      <c r="N87" s="25"/>
    </row>
    <row r="88" spans="2:14" s="10" customFormat="1" ht="13.8" x14ac:dyDescent="0.3">
      <c r="B88" s="20"/>
      <c r="C88" s="21"/>
      <c r="D88" s="20"/>
      <c r="E88" s="21"/>
      <c r="F88" s="20"/>
      <c r="G88" s="21"/>
      <c r="H88" s="20"/>
      <c r="I88" s="21"/>
      <c r="J88" s="22"/>
      <c r="K88" s="23"/>
      <c r="L88" s="24"/>
      <c r="M88" s="25"/>
      <c r="N88" s="25"/>
    </row>
    <row r="89" spans="2:14" s="10" customFormat="1" ht="13.8" x14ac:dyDescent="0.3">
      <c r="B89" s="20"/>
      <c r="C89" s="21"/>
      <c r="D89" s="20"/>
      <c r="E89" s="21"/>
      <c r="F89" s="20"/>
      <c r="G89" s="21"/>
      <c r="H89" s="20"/>
      <c r="I89" s="21"/>
      <c r="J89" s="22"/>
      <c r="K89" s="23"/>
      <c r="L89" s="24"/>
      <c r="M89" s="25"/>
      <c r="N89" s="25"/>
    </row>
    <row r="90" spans="2:14" s="10" customFormat="1" ht="13.8" x14ac:dyDescent="0.3">
      <c r="B90" s="20"/>
      <c r="C90" s="21"/>
      <c r="D90" s="20"/>
      <c r="E90" s="21"/>
      <c r="F90" s="20"/>
      <c r="G90" s="21"/>
      <c r="H90" s="20"/>
      <c r="I90" s="21"/>
      <c r="J90" s="22"/>
      <c r="K90" s="23"/>
      <c r="L90" s="24"/>
      <c r="M90" s="25"/>
      <c r="N90" s="25"/>
    </row>
    <row r="91" spans="2:14" s="10" customFormat="1" ht="13.8" x14ac:dyDescent="0.3">
      <c r="B91" s="20"/>
      <c r="C91" s="21"/>
      <c r="D91" s="20"/>
      <c r="E91" s="21"/>
      <c r="F91" s="20"/>
      <c r="G91" s="21"/>
      <c r="H91" s="20"/>
      <c r="I91" s="21"/>
      <c r="J91" s="22"/>
      <c r="K91" s="23"/>
      <c r="L91" s="24"/>
      <c r="M91" s="25"/>
      <c r="N91" s="25"/>
    </row>
    <row r="92" spans="2:14" s="10" customFormat="1" ht="13.8" x14ac:dyDescent="0.3">
      <c r="B92" s="20"/>
      <c r="C92" s="21"/>
      <c r="D92" s="20"/>
      <c r="E92" s="21"/>
      <c r="F92" s="20"/>
      <c r="G92" s="21"/>
      <c r="H92" s="20"/>
      <c r="I92" s="21"/>
      <c r="J92" s="22"/>
      <c r="K92" s="23"/>
      <c r="L92" s="24"/>
      <c r="M92" s="25"/>
      <c r="N92" s="25"/>
    </row>
    <row r="93" spans="2:14" s="10" customFormat="1" ht="13.8" x14ac:dyDescent="0.3">
      <c r="B93" s="20"/>
      <c r="C93" s="21"/>
      <c r="D93" s="20"/>
      <c r="E93" s="21"/>
      <c r="F93" s="20"/>
      <c r="G93" s="21"/>
      <c r="H93" s="20"/>
      <c r="I93" s="21"/>
      <c r="J93" s="22"/>
      <c r="K93" s="23"/>
      <c r="L93" s="24"/>
      <c r="M93" s="25"/>
      <c r="N93" s="25"/>
    </row>
    <row r="94" spans="2:14" s="10" customFormat="1" ht="13.8" x14ac:dyDescent="0.3">
      <c r="B94" s="20"/>
      <c r="C94" s="21"/>
      <c r="D94" s="20"/>
      <c r="E94" s="21"/>
      <c r="F94" s="20"/>
      <c r="G94" s="21"/>
      <c r="H94" s="20"/>
      <c r="I94" s="21"/>
      <c r="J94" s="22"/>
      <c r="K94" s="23"/>
      <c r="L94" s="24"/>
      <c r="M94" s="25"/>
      <c r="N94" s="25"/>
    </row>
    <row r="95" spans="2:14" s="10" customFormat="1" ht="13.8" x14ac:dyDescent="0.3">
      <c r="B95" s="20"/>
      <c r="C95" s="21"/>
      <c r="D95" s="20"/>
      <c r="E95" s="21"/>
      <c r="F95" s="20"/>
      <c r="G95" s="21"/>
      <c r="H95" s="20"/>
      <c r="I95" s="21"/>
      <c r="J95" s="22"/>
      <c r="K95" s="23"/>
      <c r="L95" s="24"/>
      <c r="M95" s="25"/>
      <c r="N95" s="25"/>
    </row>
    <row r="96" spans="2:14" s="10" customFormat="1" ht="13.8" x14ac:dyDescent="0.3">
      <c r="B96" s="20"/>
      <c r="C96" s="21"/>
      <c r="D96" s="20"/>
      <c r="E96" s="21"/>
      <c r="F96" s="20"/>
      <c r="G96" s="21"/>
      <c r="H96" s="20"/>
      <c r="I96" s="21"/>
      <c r="J96" s="22"/>
      <c r="K96" s="23"/>
      <c r="L96" s="24"/>
      <c r="M96" s="25"/>
      <c r="N96" s="25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1A55-BCAC-437D-9733-42ED4CC14569}">
  <dimension ref="A1:P96"/>
  <sheetViews>
    <sheetView zoomScaleNormal="100" workbookViewId="0">
      <selection activeCell="C18" sqref="C18"/>
    </sheetView>
  </sheetViews>
  <sheetFormatPr baseColWidth="10" defaultColWidth="10.6640625" defaultRowHeight="14.4" x14ac:dyDescent="0.3"/>
  <cols>
    <col min="1" max="1" width="36.77734375" customWidth="1"/>
    <col min="2" max="2" width="12.77734375" style="1" customWidth="1"/>
    <col min="3" max="3" width="8.5546875" style="2" customWidth="1"/>
    <col min="4" max="4" width="12.77734375" style="1" customWidth="1"/>
    <col min="5" max="5" width="9.5546875" style="2" customWidth="1"/>
    <col min="6" max="6" width="9.5546875" style="1" customWidth="1"/>
    <col min="7" max="7" width="6.33203125" style="2" customWidth="1"/>
    <col min="8" max="8" width="9.109375" style="1" customWidth="1"/>
    <col min="9" max="9" width="6.33203125" style="2" customWidth="1"/>
    <col min="10" max="10" width="10.6640625" style="3" customWidth="1"/>
    <col min="11" max="11" width="10.88671875" style="4" customWidth="1"/>
    <col min="12" max="12" width="10.21875" style="5" customWidth="1"/>
    <col min="13" max="13" width="10.6640625" style="6" customWidth="1"/>
    <col min="14" max="14" width="10.5546875" style="6" customWidth="1"/>
    <col min="15" max="16" width="5.33203125" customWidth="1"/>
  </cols>
  <sheetData>
    <row r="1" spans="1:16" s="36" customFormat="1" ht="24.75" customHeight="1" x14ac:dyDescent="0.3">
      <c r="A1" s="30" t="s">
        <v>0</v>
      </c>
      <c r="B1" s="31" t="s">
        <v>8</v>
      </c>
      <c r="C1" s="37" t="s">
        <v>39</v>
      </c>
      <c r="D1" s="31" t="s">
        <v>1</v>
      </c>
      <c r="E1" s="37" t="s">
        <v>40</v>
      </c>
      <c r="F1" s="31" t="s">
        <v>7</v>
      </c>
      <c r="G1" s="32" t="s">
        <v>41</v>
      </c>
      <c r="H1" s="31" t="s">
        <v>9</v>
      </c>
      <c r="I1" s="32" t="s">
        <v>42</v>
      </c>
      <c r="J1" s="33" t="s">
        <v>10</v>
      </c>
      <c r="K1" s="31" t="s">
        <v>11</v>
      </c>
      <c r="L1" s="31" t="s">
        <v>12</v>
      </c>
      <c r="M1" s="31" t="s">
        <v>13</v>
      </c>
      <c r="N1" s="34" t="s">
        <v>14</v>
      </c>
      <c r="O1" s="35"/>
      <c r="P1" s="35"/>
    </row>
    <row r="2" spans="1:16" s="10" customFormat="1" ht="13.8" x14ac:dyDescent="0.3">
      <c r="A2" s="29" t="s">
        <v>26</v>
      </c>
      <c r="B2" s="14">
        <v>8.57</v>
      </c>
      <c r="C2" s="15">
        <f>(Tabla16[[#This Row],[Aporte Individual]]*0.35)</f>
        <v>2.9994999999999998</v>
      </c>
      <c r="D2" s="14">
        <v>8</v>
      </c>
      <c r="E2" s="15">
        <f>Tabla16[[#This Row],[Aporte Grupal]]*0.35</f>
        <v>2.8</v>
      </c>
      <c r="F2" s="14">
        <v>10</v>
      </c>
      <c r="G2" s="15">
        <f>Tabla16[[#This Row],[Proyecto]]*0.1</f>
        <v>1</v>
      </c>
      <c r="H2" s="14">
        <v>8</v>
      </c>
      <c r="I2" s="15">
        <f>Tabla16[[#This Row],[Examen]]*0.2</f>
        <v>1.6</v>
      </c>
      <c r="J2" s="16">
        <f>SUM(Tabla16[[#This Row],[35%(Aporte Individual)]],Tabla16[[#This Row],[35%(Aporte Grupal)]],Tabla16[[#This Row],[10%(Proyecto)]],Tabla16[[#This Row],[20%(Examen)]])</f>
        <v>8.3994999999999997</v>
      </c>
      <c r="K2" s="7" t="s">
        <v>3</v>
      </c>
      <c r="L2" s="8" t="s">
        <v>2</v>
      </c>
      <c r="M2" s="9"/>
      <c r="N2" s="26">
        <v>0</v>
      </c>
    </row>
    <row r="3" spans="1:16" s="10" customFormat="1" ht="13.8" x14ac:dyDescent="0.3">
      <c r="A3" s="29" t="s">
        <v>36</v>
      </c>
      <c r="B3" s="14">
        <v>4.5</v>
      </c>
      <c r="C3" s="15">
        <f>(Tabla16[[#This Row],[Aporte Individual]]*0.35)</f>
        <v>1.575</v>
      </c>
      <c r="D3" s="14">
        <v>8</v>
      </c>
      <c r="E3" s="15">
        <f>Tabla16[[#This Row],[Aporte Grupal]]*0.35</f>
        <v>2.8</v>
      </c>
      <c r="F3" s="14">
        <v>5</v>
      </c>
      <c r="G3" s="15">
        <f>Tabla16[[#This Row],[Proyecto]]*0.1</f>
        <v>0.5</v>
      </c>
      <c r="H3" s="14">
        <v>6.5</v>
      </c>
      <c r="I3" s="15">
        <f>Tabla16[[#This Row],[Examen]]*0.2</f>
        <v>1.3</v>
      </c>
      <c r="J3" s="16">
        <f>SUM(Tabla16[[#This Row],[35%(Aporte Individual)]],Tabla16[[#This Row],[35%(Aporte Grupal)]],Tabla16[[#This Row],[10%(Proyecto)]],Tabla16[[#This Row],[20%(Examen)]])</f>
        <v>6.1749999999999998</v>
      </c>
      <c r="K3" s="11" t="s">
        <v>38</v>
      </c>
      <c r="L3" s="12" t="s">
        <v>2</v>
      </c>
      <c r="M3" s="13">
        <v>1</v>
      </c>
      <c r="N3" s="27">
        <v>0</v>
      </c>
    </row>
    <row r="4" spans="1:16" s="10" customFormat="1" ht="13.8" x14ac:dyDescent="0.3">
      <c r="A4" s="29" t="s">
        <v>30</v>
      </c>
      <c r="B4" s="14">
        <v>10</v>
      </c>
      <c r="C4" s="15">
        <f>(Tabla16[[#This Row],[Aporte Individual]]*0.35)</f>
        <v>3.5</v>
      </c>
      <c r="D4" s="14">
        <v>10</v>
      </c>
      <c r="E4" s="15">
        <f>Tabla16[[#This Row],[Aporte Grupal]]*0.35</f>
        <v>3.5</v>
      </c>
      <c r="F4" s="14">
        <v>9</v>
      </c>
      <c r="G4" s="15">
        <f>Tabla16[[#This Row],[Proyecto]]*0.1</f>
        <v>0.9</v>
      </c>
      <c r="H4" s="14">
        <v>10</v>
      </c>
      <c r="I4" s="15">
        <f>Tabla16[[#This Row],[Examen]]*0.2</f>
        <v>2</v>
      </c>
      <c r="J4" s="16">
        <f>SUM(Tabla16[[#This Row],[35%(Aporte Individual)]],Tabla16[[#This Row],[35%(Aporte Grupal)]],Tabla16[[#This Row],[10%(Proyecto)]],Tabla16[[#This Row],[20%(Examen)]])</f>
        <v>9.9</v>
      </c>
      <c r="K4" s="11" t="s">
        <v>5</v>
      </c>
      <c r="L4" s="12" t="s">
        <v>2</v>
      </c>
      <c r="M4" s="13">
        <v>0</v>
      </c>
      <c r="N4" s="27">
        <v>0</v>
      </c>
    </row>
    <row r="5" spans="1:16" s="10" customFormat="1" ht="13.8" x14ac:dyDescent="0.3">
      <c r="A5" s="29" t="s">
        <v>20</v>
      </c>
      <c r="B5" s="14">
        <v>7.29</v>
      </c>
      <c r="C5" s="15">
        <f>(Tabla16[[#This Row],[Aporte Individual]]*0.35)</f>
        <v>2.5514999999999999</v>
      </c>
      <c r="D5" s="14">
        <v>8</v>
      </c>
      <c r="E5" s="15">
        <f>Tabla16[[#This Row],[Aporte Grupal]]*0.35</f>
        <v>2.8</v>
      </c>
      <c r="F5" s="14">
        <v>9</v>
      </c>
      <c r="G5" s="15">
        <f>Tabla16[[#This Row],[Proyecto]]*0.1</f>
        <v>0.9</v>
      </c>
      <c r="H5" s="14">
        <v>5.7</v>
      </c>
      <c r="I5" s="15">
        <f>Tabla16[[#This Row],[Examen]]*0.2</f>
        <v>1.1400000000000001</v>
      </c>
      <c r="J5" s="16">
        <f>SUM(Tabla16[[#This Row],[35%(Aporte Individual)]],Tabla16[[#This Row],[35%(Aporte Grupal)]],Tabla16[[#This Row],[10%(Proyecto)]],Tabla16[[#This Row],[20%(Examen)]])</f>
        <v>7.3915000000000006</v>
      </c>
      <c r="K5" s="11" t="s">
        <v>3</v>
      </c>
      <c r="L5" s="12" t="s">
        <v>2</v>
      </c>
      <c r="M5" s="13">
        <v>0</v>
      </c>
      <c r="N5" s="27">
        <v>0</v>
      </c>
    </row>
    <row r="6" spans="1:16" s="10" customFormat="1" ht="13.8" x14ac:dyDescent="0.3">
      <c r="A6" s="29" t="s">
        <v>34</v>
      </c>
      <c r="B6" s="14">
        <v>9.69</v>
      </c>
      <c r="C6" s="15">
        <f>(Tabla16[[#This Row],[Aporte Individual]]*0.35)</f>
        <v>3.3914999999999997</v>
      </c>
      <c r="D6" s="14">
        <v>10</v>
      </c>
      <c r="E6" s="15">
        <f>Tabla16[[#This Row],[Aporte Grupal]]*0.35</f>
        <v>3.5</v>
      </c>
      <c r="F6" s="14">
        <v>10</v>
      </c>
      <c r="G6" s="15">
        <f>Tabla16[[#This Row],[Proyecto]]*0.1</f>
        <v>1</v>
      </c>
      <c r="H6" s="14">
        <v>8</v>
      </c>
      <c r="I6" s="15">
        <f>Tabla16[[#This Row],[Examen]]*0.2</f>
        <v>1.6</v>
      </c>
      <c r="J6" s="16">
        <f>SUM(Tabla16[[#This Row],[35%(Aporte Individual)]],Tabla16[[#This Row],[35%(Aporte Grupal)]],Tabla16[[#This Row],[10%(Proyecto)]],Tabla16[[#This Row],[20%(Examen)]])</f>
        <v>9.4915000000000003</v>
      </c>
      <c r="K6" s="11" t="s">
        <v>5</v>
      </c>
      <c r="L6" s="12" t="s">
        <v>2</v>
      </c>
      <c r="M6" s="13">
        <v>1</v>
      </c>
      <c r="N6" s="27">
        <v>0</v>
      </c>
    </row>
    <row r="7" spans="1:16" s="10" customFormat="1" ht="13.8" x14ac:dyDescent="0.3">
      <c r="A7" s="29" t="s">
        <v>33</v>
      </c>
      <c r="B7" s="14">
        <v>6.81</v>
      </c>
      <c r="C7" s="15">
        <f>(Tabla16[[#This Row],[Aporte Individual]]*0.35)</f>
        <v>2.3834999999999997</v>
      </c>
      <c r="D7" s="14">
        <v>8</v>
      </c>
      <c r="E7" s="15">
        <f>Tabla16[[#This Row],[Aporte Grupal]]*0.35</f>
        <v>2.8</v>
      </c>
      <c r="F7" s="14">
        <v>10</v>
      </c>
      <c r="G7" s="15">
        <f>Tabla16[[#This Row],[Proyecto]]*0.1</f>
        <v>1</v>
      </c>
      <c r="H7" s="14">
        <v>5.86</v>
      </c>
      <c r="I7" s="15">
        <f>Tabla16[[#This Row],[Examen]]*0.2</f>
        <v>1.1720000000000002</v>
      </c>
      <c r="J7" s="16">
        <f>SUM(Tabla16[[#This Row],[35%(Aporte Individual)]],Tabla16[[#This Row],[35%(Aporte Grupal)]],Tabla16[[#This Row],[10%(Proyecto)]],Tabla16[[#This Row],[20%(Examen)]])</f>
        <v>7.3554999999999993</v>
      </c>
      <c r="K7" s="11" t="s">
        <v>3</v>
      </c>
      <c r="L7" s="12" t="s">
        <v>2</v>
      </c>
      <c r="M7" s="13">
        <v>0</v>
      </c>
      <c r="N7" s="27">
        <v>0</v>
      </c>
    </row>
    <row r="8" spans="1:16" s="10" customFormat="1" ht="13.8" x14ac:dyDescent="0.3">
      <c r="A8" s="29" t="s">
        <v>21</v>
      </c>
      <c r="B8" s="14">
        <v>6.86</v>
      </c>
      <c r="C8" s="15">
        <f>(Tabla16[[#This Row],[Aporte Individual]]*0.35)</f>
        <v>2.4009999999999998</v>
      </c>
      <c r="D8" s="14">
        <v>10</v>
      </c>
      <c r="E8" s="15">
        <f>Tabla16[[#This Row],[Aporte Grupal]]*0.35</f>
        <v>3.5</v>
      </c>
      <c r="F8" s="14">
        <v>10</v>
      </c>
      <c r="G8" s="15">
        <f>Tabla16[[#This Row],[Proyecto]]*0.1</f>
        <v>1</v>
      </c>
      <c r="H8" s="14">
        <v>5.2</v>
      </c>
      <c r="I8" s="15">
        <f>Tabla16[[#This Row],[Examen]]*0.2</f>
        <v>1.04</v>
      </c>
      <c r="J8" s="16">
        <f>SUM(Tabla16[[#This Row],[35%(Aporte Individual)]],Tabla16[[#This Row],[35%(Aporte Grupal)]],Tabla16[[#This Row],[10%(Proyecto)]],Tabla16[[#This Row],[20%(Examen)]])</f>
        <v>7.9409999999999998</v>
      </c>
      <c r="K8" s="11" t="s">
        <v>3</v>
      </c>
      <c r="L8" s="12" t="s">
        <v>2</v>
      </c>
      <c r="M8" s="13">
        <v>0</v>
      </c>
      <c r="N8" s="27">
        <v>0</v>
      </c>
    </row>
    <row r="9" spans="1:16" s="10" customFormat="1" ht="13.8" x14ac:dyDescent="0.3">
      <c r="A9" s="29" t="s">
        <v>24</v>
      </c>
      <c r="B9" s="14">
        <v>7.14</v>
      </c>
      <c r="C9" s="15">
        <f>(Tabla16[[#This Row],[Aporte Individual]]*0.35)</f>
        <v>2.4989999999999997</v>
      </c>
      <c r="D9" s="14">
        <v>7.7</v>
      </c>
      <c r="E9" s="15">
        <f>Tabla16[[#This Row],[Aporte Grupal]]*0.35</f>
        <v>2.6949999999999998</v>
      </c>
      <c r="F9" s="14">
        <v>10</v>
      </c>
      <c r="G9" s="15">
        <f>Tabla16[[#This Row],[Proyecto]]*0.1</f>
        <v>1</v>
      </c>
      <c r="H9" s="14">
        <v>4.2</v>
      </c>
      <c r="I9" s="15">
        <f>Tabla16[[#This Row],[Examen]]*0.2</f>
        <v>0.84000000000000008</v>
      </c>
      <c r="J9" s="16">
        <f>SUM(Tabla16[[#This Row],[35%(Aporte Individual)]],Tabla16[[#This Row],[35%(Aporte Grupal)]],Tabla16[[#This Row],[10%(Proyecto)]],Tabla16[[#This Row],[20%(Examen)]])</f>
        <v>7.0339999999999989</v>
      </c>
      <c r="K9" s="11" t="s">
        <v>3</v>
      </c>
      <c r="L9" s="12" t="s">
        <v>2</v>
      </c>
      <c r="M9" s="13">
        <v>3</v>
      </c>
      <c r="N9" s="27">
        <v>0</v>
      </c>
    </row>
    <row r="10" spans="1:16" s="10" customFormat="1" ht="13.8" x14ac:dyDescent="0.3">
      <c r="A10" s="29" t="s">
        <v>29</v>
      </c>
      <c r="B10" s="14">
        <v>7.29</v>
      </c>
      <c r="C10" s="15">
        <f>(Tabla16[[#This Row],[Aporte Individual]]*0.35)</f>
        <v>2.5514999999999999</v>
      </c>
      <c r="D10" s="14">
        <v>8</v>
      </c>
      <c r="E10" s="15">
        <f>Tabla16[[#This Row],[Aporte Grupal]]*0.35</f>
        <v>2.8</v>
      </c>
      <c r="F10" s="14">
        <v>9</v>
      </c>
      <c r="G10" s="15">
        <f>Tabla16[[#This Row],[Proyecto]]*0.1</f>
        <v>0.9</v>
      </c>
      <c r="H10" s="14">
        <v>6</v>
      </c>
      <c r="I10" s="15">
        <f>Tabla16[[#This Row],[Examen]]*0.2</f>
        <v>1.2000000000000002</v>
      </c>
      <c r="J10" s="16">
        <f>SUM(Tabla16[[#This Row],[35%(Aporte Individual)]],Tabla16[[#This Row],[35%(Aporte Grupal)]],Tabla16[[#This Row],[10%(Proyecto)]],Tabla16[[#This Row],[20%(Examen)]])</f>
        <v>7.4515000000000002</v>
      </c>
      <c r="K10" s="11" t="s">
        <v>3</v>
      </c>
      <c r="L10" s="12" t="s">
        <v>2</v>
      </c>
      <c r="M10" s="13">
        <v>0</v>
      </c>
      <c r="N10" s="27">
        <v>0</v>
      </c>
    </row>
    <row r="11" spans="1:16" s="10" customFormat="1" ht="13.8" x14ac:dyDescent="0.3">
      <c r="A11" s="29" t="s">
        <v>23</v>
      </c>
      <c r="B11" s="14">
        <v>7.29</v>
      </c>
      <c r="C11" s="15">
        <f>(Tabla16[[#This Row],[Aporte Individual]]*0.35)</f>
        <v>2.5514999999999999</v>
      </c>
      <c r="D11" s="14">
        <v>10</v>
      </c>
      <c r="E11" s="15">
        <f>Tabla16[[#This Row],[Aporte Grupal]]*0.35</f>
        <v>3.5</v>
      </c>
      <c r="F11" s="14">
        <v>10</v>
      </c>
      <c r="G11" s="15">
        <f>Tabla16[[#This Row],[Proyecto]]*0.1</f>
        <v>1</v>
      </c>
      <c r="H11" s="14">
        <v>5.5</v>
      </c>
      <c r="I11" s="15">
        <f>Tabla16[[#This Row],[Examen]]*0.2</f>
        <v>1.1000000000000001</v>
      </c>
      <c r="J11" s="16">
        <f>SUM(Tabla16[[#This Row],[35%(Aporte Individual)]],Tabla16[[#This Row],[35%(Aporte Grupal)]],Tabla16[[#This Row],[10%(Proyecto)]],Tabla16[[#This Row],[20%(Examen)]])</f>
        <v>8.1515000000000004</v>
      </c>
      <c r="K11" s="11" t="s">
        <v>6</v>
      </c>
      <c r="L11" s="12" t="s">
        <v>2</v>
      </c>
      <c r="M11" s="13">
        <v>0</v>
      </c>
      <c r="N11" s="27">
        <v>0</v>
      </c>
    </row>
    <row r="12" spans="1:16" s="10" customFormat="1" ht="13.8" x14ac:dyDescent="0.3">
      <c r="A12" s="29" t="s">
        <v>35</v>
      </c>
      <c r="B12" s="14">
        <v>8.7100000000000009</v>
      </c>
      <c r="C12" s="15">
        <f>(Tabla16[[#This Row],[Aporte Individual]]*0.35)</f>
        <v>3.0485000000000002</v>
      </c>
      <c r="D12" s="14">
        <v>9</v>
      </c>
      <c r="E12" s="15">
        <f>Tabla16[[#This Row],[Aporte Grupal]]*0.35</f>
        <v>3.15</v>
      </c>
      <c r="F12" s="14">
        <v>10</v>
      </c>
      <c r="G12" s="15">
        <f>Tabla16[[#This Row],[Proyecto]]*0.1</f>
        <v>1</v>
      </c>
      <c r="H12" s="14">
        <v>7.25</v>
      </c>
      <c r="I12" s="15">
        <f>Tabla16[[#This Row],[Examen]]*0.2</f>
        <v>1.4500000000000002</v>
      </c>
      <c r="J12" s="16">
        <f>SUM(Tabla16[[#This Row],[35%(Aporte Individual)]],Tabla16[[#This Row],[35%(Aporte Grupal)]],Tabla16[[#This Row],[10%(Proyecto)]],Tabla16[[#This Row],[20%(Examen)]])</f>
        <v>8.6485000000000003</v>
      </c>
      <c r="K12" s="11" t="s">
        <v>3</v>
      </c>
      <c r="L12" s="12" t="s">
        <v>2</v>
      </c>
      <c r="M12" s="13">
        <v>1</v>
      </c>
      <c r="N12" s="27">
        <v>1</v>
      </c>
    </row>
    <row r="13" spans="1:16" s="10" customFormat="1" ht="13.8" x14ac:dyDescent="0.3">
      <c r="A13" s="29" t="s">
        <v>25</v>
      </c>
      <c r="B13" s="14">
        <v>7.88</v>
      </c>
      <c r="C13" s="15">
        <f>(Tabla16[[#This Row],[Aporte Individual]]*0.35)</f>
        <v>2.758</v>
      </c>
      <c r="D13" s="14">
        <v>8</v>
      </c>
      <c r="E13" s="15">
        <f>Tabla16[[#This Row],[Aporte Grupal]]*0.35</f>
        <v>2.8</v>
      </c>
      <c r="F13" s="14">
        <v>9</v>
      </c>
      <c r="G13" s="15">
        <f>Tabla16[[#This Row],[Proyecto]]*0.1</f>
        <v>0.9</v>
      </c>
      <c r="H13" s="14">
        <v>5</v>
      </c>
      <c r="I13" s="15">
        <f>Tabla16[[#This Row],[Examen]]*0.2</f>
        <v>1</v>
      </c>
      <c r="J13" s="16">
        <f>SUM(Tabla16[[#This Row],[35%(Aporte Individual)]],Tabla16[[#This Row],[35%(Aporte Grupal)]],Tabla16[[#This Row],[10%(Proyecto)]],Tabla16[[#This Row],[20%(Examen)]])</f>
        <v>7.4580000000000002</v>
      </c>
      <c r="K13" s="11" t="s">
        <v>3</v>
      </c>
      <c r="L13" s="12" t="s">
        <v>2</v>
      </c>
      <c r="M13" s="13">
        <v>0</v>
      </c>
      <c r="N13" s="27">
        <v>0</v>
      </c>
    </row>
    <row r="14" spans="1:16" s="10" customFormat="1" ht="13.8" x14ac:dyDescent="0.3">
      <c r="A14" s="29" t="s">
        <v>18</v>
      </c>
      <c r="B14" s="14">
        <v>9.5399999999999991</v>
      </c>
      <c r="C14" s="15">
        <f>(Tabla16[[#This Row],[Aporte Individual]]*0.35)</f>
        <v>3.3389999999999995</v>
      </c>
      <c r="D14" s="14">
        <v>10</v>
      </c>
      <c r="E14" s="15">
        <f>Tabla16[[#This Row],[Aporte Grupal]]*0.35</f>
        <v>3.5</v>
      </c>
      <c r="F14" s="14">
        <v>10</v>
      </c>
      <c r="G14" s="15">
        <f>Tabla16[[#This Row],[Proyecto]]*0.1</f>
        <v>1</v>
      </c>
      <c r="H14" s="14">
        <v>4.5</v>
      </c>
      <c r="I14" s="15">
        <f>Tabla16[[#This Row],[Examen]]*0.2</f>
        <v>0.9</v>
      </c>
      <c r="J14" s="16">
        <f>SUM(Tabla16[[#This Row],[35%(Aporte Individual)]],Tabla16[[#This Row],[35%(Aporte Grupal)]],Tabla16[[#This Row],[10%(Proyecto)]],Tabla16[[#This Row],[20%(Examen)]])</f>
        <v>8.738999999999999</v>
      </c>
      <c r="K14" s="11" t="s">
        <v>6</v>
      </c>
      <c r="L14" s="12" t="s">
        <v>2</v>
      </c>
      <c r="M14" s="13">
        <v>0</v>
      </c>
      <c r="N14" s="27">
        <v>0</v>
      </c>
    </row>
    <row r="15" spans="1:16" s="10" customFormat="1" ht="13.8" x14ac:dyDescent="0.3">
      <c r="A15" s="29" t="s">
        <v>15</v>
      </c>
      <c r="B15" s="14">
        <v>6.71</v>
      </c>
      <c r="C15" s="15">
        <f>(Tabla16[[#This Row],[Aporte Individual]]*0.35)</f>
        <v>2.3485</v>
      </c>
      <c r="D15" s="14">
        <v>8</v>
      </c>
      <c r="E15" s="15">
        <f>Tabla16[[#This Row],[Aporte Grupal]]*0.35</f>
        <v>2.8</v>
      </c>
      <c r="F15" s="14">
        <v>10</v>
      </c>
      <c r="G15" s="15">
        <f>Tabla16[[#This Row],[Proyecto]]*0.1</f>
        <v>1</v>
      </c>
      <c r="H15" s="14">
        <v>5.55</v>
      </c>
      <c r="I15" s="15">
        <f>Tabla16[[#This Row],[Examen]]*0.2</f>
        <v>1.1100000000000001</v>
      </c>
      <c r="J15" s="16">
        <f>SUM(Tabla16[[#This Row],[35%(Aporte Individual)]],Tabla16[[#This Row],[35%(Aporte Grupal)]],Tabla16[[#This Row],[10%(Proyecto)]],Tabla16[[#This Row],[20%(Examen)]])</f>
        <v>7.2585000000000006</v>
      </c>
      <c r="K15" s="11" t="s">
        <v>3</v>
      </c>
      <c r="L15" s="12" t="s">
        <v>2</v>
      </c>
      <c r="M15" s="13">
        <v>0</v>
      </c>
      <c r="N15" s="27">
        <v>0</v>
      </c>
    </row>
    <row r="16" spans="1:16" s="10" customFormat="1" ht="13.8" x14ac:dyDescent="0.3">
      <c r="A16" s="29" t="s">
        <v>31</v>
      </c>
      <c r="B16" s="14">
        <v>7.4</v>
      </c>
      <c r="C16" s="15">
        <f>(Tabla16[[#This Row],[Aporte Individual]]*0.35)</f>
        <v>2.59</v>
      </c>
      <c r="D16" s="14">
        <v>9</v>
      </c>
      <c r="E16" s="15">
        <f>Tabla16[[#This Row],[Aporte Grupal]]*0.35</f>
        <v>3.15</v>
      </c>
      <c r="F16" s="14">
        <v>10</v>
      </c>
      <c r="G16" s="15">
        <f>Tabla16[[#This Row],[Proyecto]]*0.1</f>
        <v>1</v>
      </c>
      <c r="H16" s="14">
        <v>8</v>
      </c>
      <c r="I16" s="15">
        <f>Tabla16[[#This Row],[Examen]]*0.2</f>
        <v>1.6</v>
      </c>
      <c r="J16" s="16">
        <f>SUM(Tabla16[[#This Row],[35%(Aporte Individual)]],Tabla16[[#This Row],[35%(Aporte Grupal)]],Tabla16[[#This Row],[10%(Proyecto)]],Tabla16[[#This Row],[20%(Examen)]])</f>
        <v>8.34</v>
      </c>
      <c r="K16" s="11" t="s">
        <v>3</v>
      </c>
      <c r="L16" s="12" t="s">
        <v>2</v>
      </c>
      <c r="M16" s="13">
        <v>0</v>
      </c>
      <c r="N16" s="27">
        <v>0</v>
      </c>
    </row>
    <row r="17" spans="1:14" s="10" customFormat="1" ht="13.8" x14ac:dyDescent="0.3">
      <c r="A17" s="29" t="s">
        <v>17</v>
      </c>
      <c r="B17" s="14">
        <v>7.86</v>
      </c>
      <c r="C17" s="15">
        <f>(Tabla16[[#This Row],[Aporte Individual]]*0.35)</f>
        <v>2.7509999999999999</v>
      </c>
      <c r="D17" s="14">
        <v>8</v>
      </c>
      <c r="E17" s="15">
        <f>Tabla16[[#This Row],[Aporte Grupal]]*0.35</f>
        <v>2.8</v>
      </c>
      <c r="F17" s="14">
        <v>9</v>
      </c>
      <c r="G17" s="15">
        <f>Tabla16[[#This Row],[Proyecto]]*0.1</f>
        <v>0.9</v>
      </c>
      <c r="H17" s="14">
        <v>3</v>
      </c>
      <c r="I17" s="15">
        <f>Tabla16[[#This Row],[Examen]]*0.2</f>
        <v>0.60000000000000009</v>
      </c>
      <c r="J17" s="16">
        <f>SUM(Tabla16[[#This Row],[35%(Aporte Individual)]],Tabla16[[#This Row],[35%(Aporte Grupal)]],Tabla16[[#This Row],[10%(Proyecto)]],Tabla16[[#This Row],[20%(Examen)]])</f>
        <v>7.0510000000000002</v>
      </c>
      <c r="K17" s="11" t="s">
        <v>3</v>
      </c>
      <c r="L17" s="12" t="s">
        <v>2</v>
      </c>
      <c r="M17" s="13">
        <v>0</v>
      </c>
      <c r="N17" s="27">
        <v>0</v>
      </c>
    </row>
    <row r="18" spans="1:14" s="10" customFormat="1" ht="13.8" x14ac:dyDescent="0.3">
      <c r="A18" s="29" t="s">
        <v>37</v>
      </c>
      <c r="B18" s="14">
        <v>7</v>
      </c>
      <c r="C18" s="15">
        <f>(Tabla16[[#This Row],[Aporte Individual]]*0.35)</f>
        <v>2.4499999999999997</v>
      </c>
      <c r="D18" s="14">
        <v>10</v>
      </c>
      <c r="E18" s="15">
        <f>Tabla16[[#This Row],[Aporte Grupal]]*0.35</f>
        <v>3.5</v>
      </c>
      <c r="F18" s="14">
        <v>9</v>
      </c>
      <c r="G18" s="15">
        <f>Tabla16[[#This Row],[Proyecto]]*0.1</f>
        <v>0.9</v>
      </c>
      <c r="H18" s="14">
        <v>8</v>
      </c>
      <c r="I18" s="15">
        <f>Tabla16[[#This Row],[Examen]]*0.2</f>
        <v>1.6</v>
      </c>
      <c r="J18" s="16">
        <f>SUM(Tabla16[[#This Row],[35%(Aporte Individual)]],Tabla16[[#This Row],[35%(Aporte Grupal)]],Tabla16[[#This Row],[10%(Proyecto)]],Tabla16[[#This Row],[20%(Examen)]])</f>
        <v>8.4499999999999993</v>
      </c>
      <c r="K18" s="11" t="s">
        <v>6</v>
      </c>
      <c r="L18" s="12" t="s">
        <v>2</v>
      </c>
      <c r="M18" s="13">
        <v>0</v>
      </c>
      <c r="N18" s="27">
        <v>0</v>
      </c>
    </row>
    <row r="19" spans="1:14" s="10" customFormat="1" ht="13.8" x14ac:dyDescent="0.3">
      <c r="A19" s="29" t="s">
        <v>27</v>
      </c>
      <c r="B19" s="14">
        <v>7</v>
      </c>
      <c r="C19" s="15">
        <f>(Tabla16[[#This Row],[Aporte Individual]]*0.35)</f>
        <v>2.4499999999999997</v>
      </c>
      <c r="D19" s="14">
        <v>9</v>
      </c>
      <c r="E19" s="15">
        <f>Tabla16[[#This Row],[Aporte Grupal]]*0.35</f>
        <v>3.15</v>
      </c>
      <c r="F19" s="14">
        <v>8</v>
      </c>
      <c r="G19" s="15">
        <f>Tabla16[[#This Row],[Proyecto]]*0.1</f>
        <v>0.8</v>
      </c>
      <c r="H19" s="14">
        <v>8</v>
      </c>
      <c r="I19" s="15">
        <f>Tabla16[[#This Row],[Examen]]*0.2</f>
        <v>1.6</v>
      </c>
      <c r="J19" s="16">
        <f>SUM(Tabla16[[#This Row],[35%(Aporte Individual)]],Tabla16[[#This Row],[35%(Aporte Grupal)]],Tabla16[[#This Row],[10%(Proyecto)]],Tabla16[[#This Row],[20%(Examen)]])</f>
        <v>8</v>
      </c>
      <c r="K19" s="11" t="s">
        <v>38</v>
      </c>
      <c r="L19" s="12" t="s">
        <v>2</v>
      </c>
      <c r="M19" s="13">
        <v>1</v>
      </c>
      <c r="N19" s="27">
        <v>0</v>
      </c>
    </row>
    <row r="20" spans="1:14" s="10" customFormat="1" ht="13.8" x14ac:dyDescent="0.3">
      <c r="A20" s="29" t="s">
        <v>16</v>
      </c>
      <c r="B20" s="14">
        <v>7.57</v>
      </c>
      <c r="C20" s="15">
        <f>(Tabla16[[#This Row],[Aporte Individual]]*0.35)</f>
        <v>2.6494999999999997</v>
      </c>
      <c r="D20" s="14">
        <v>6.5</v>
      </c>
      <c r="E20" s="15">
        <f>Tabla16[[#This Row],[Aporte Grupal]]*0.35</f>
        <v>2.2749999999999999</v>
      </c>
      <c r="F20" s="14">
        <v>10</v>
      </c>
      <c r="G20" s="15">
        <f>Tabla16[[#This Row],[Proyecto]]*0.1</f>
        <v>1</v>
      </c>
      <c r="H20" s="14">
        <v>7.5</v>
      </c>
      <c r="I20" s="15">
        <f>Tabla16[[#This Row],[Examen]]*0.2</f>
        <v>1.5</v>
      </c>
      <c r="J20" s="16">
        <f>SUM(Tabla16[[#This Row],[35%(Aporte Individual)]],Tabla16[[#This Row],[35%(Aporte Grupal)]],Tabla16[[#This Row],[10%(Proyecto)]],Tabla16[[#This Row],[20%(Examen)]])</f>
        <v>7.4245000000000001</v>
      </c>
      <c r="K20" s="11" t="s">
        <v>3</v>
      </c>
      <c r="L20" s="12" t="s">
        <v>2</v>
      </c>
      <c r="M20" s="13">
        <v>0</v>
      </c>
      <c r="N20" s="27">
        <v>0</v>
      </c>
    </row>
    <row r="21" spans="1:14" s="10" customFormat="1" ht="13.8" x14ac:dyDescent="0.3">
      <c r="A21" s="29" t="s">
        <v>19</v>
      </c>
      <c r="B21" s="14">
        <v>7.86</v>
      </c>
      <c r="C21" s="15">
        <f>(Tabla16[[#This Row],[Aporte Individual]]*0.35)</f>
        <v>2.7509999999999999</v>
      </c>
      <c r="D21" s="14">
        <v>8</v>
      </c>
      <c r="E21" s="15">
        <f>Tabla16[[#This Row],[Aporte Grupal]]*0.35</f>
        <v>2.8</v>
      </c>
      <c r="F21" s="14">
        <v>9</v>
      </c>
      <c r="G21" s="15">
        <f>Tabla16[[#This Row],[Proyecto]]*0.1</f>
        <v>0.9</v>
      </c>
      <c r="H21" s="14">
        <v>9</v>
      </c>
      <c r="I21" s="15">
        <f>Tabla16[[#This Row],[Examen]]*0.2</f>
        <v>1.8</v>
      </c>
      <c r="J21" s="16">
        <f>SUM(Tabla16[[#This Row],[35%(Aporte Individual)]],Tabla16[[#This Row],[35%(Aporte Grupal)]],Tabla16[[#This Row],[10%(Proyecto)]],Tabla16[[#This Row],[20%(Examen)]])</f>
        <v>8.2510000000000012</v>
      </c>
      <c r="K21" s="11" t="s">
        <v>3</v>
      </c>
      <c r="L21" s="12" t="s">
        <v>2</v>
      </c>
      <c r="M21" s="13">
        <v>0</v>
      </c>
      <c r="N21" s="27">
        <v>0</v>
      </c>
    </row>
    <row r="22" spans="1:14" s="10" customFormat="1" ht="13.8" x14ac:dyDescent="0.3">
      <c r="A22" s="29" t="s">
        <v>28</v>
      </c>
      <c r="B22" s="14">
        <v>8.86</v>
      </c>
      <c r="C22" s="15">
        <f>(Tabla16[[#This Row],[Aporte Individual]]*0.35)</f>
        <v>3.1009999999999995</v>
      </c>
      <c r="D22" s="14">
        <v>6</v>
      </c>
      <c r="E22" s="15">
        <f>Tabla16[[#This Row],[Aporte Grupal]]*0.35</f>
        <v>2.0999999999999996</v>
      </c>
      <c r="F22" s="14">
        <v>10</v>
      </c>
      <c r="G22" s="15">
        <f>Tabla16[[#This Row],[Proyecto]]*0.1</f>
        <v>1</v>
      </c>
      <c r="H22" s="14">
        <v>7</v>
      </c>
      <c r="I22" s="15">
        <f>Tabla16[[#This Row],[Examen]]*0.2</f>
        <v>1.4000000000000001</v>
      </c>
      <c r="J22" s="16">
        <f>SUM(Tabla16[[#This Row],[35%(Aporte Individual)]],Tabla16[[#This Row],[35%(Aporte Grupal)]],Tabla16[[#This Row],[10%(Proyecto)]],Tabla16[[#This Row],[20%(Examen)]])</f>
        <v>7.6009999999999991</v>
      </c>
      <c r="K22" s="11" t="s">
        <v>3</v>
      </c>
      <c r="L22" s="12" t="s">
        <v>2</v>
      </c>
      <c r="M22" s="13">
        <v>0</v>
      </c>
      <c r="N22" s="27">
        <v>0</v>
      </c>
    </row>
    <row r="23" spans="1:14" s="10" customFormat="1" ht="13.8" x14ac:dyDescent="0.3">
      <c r="A23" s="29" t="s">
        <v>22</v>
      </c>
      <c r="B23" s="14">
        <v>8.7100000000000009</v>
      </c>
      <c r="C23" s="15">
        <f>(Tabla16[[#This Row],[Aporte Individual]]*0.35)</f>
        <v>3.0485000000000002</v>
      </c>
      <c r="D23" s="14">
        <v>5.5</v>
      </c>
      <c r="E23" s="15">
        <f>Tabla16[[#This Row],[Aporte Grupal]]*0.35</f>
        <v>1.9249999999999998</v>
      </c>
      <c r="F23" s="14">
        <v>10</v>
      </c>
      <c r="G23" s="15">
        <f>Tabla16[[#This Row],[Proyecto]]*0.1</f>
        <v>1</v>
      </c>
      <c r="H23" s="14">
        <v>7.5</v>
      </c>
      <c r="I23" s="15">
        <f>Tabla16[[#This Row],[Examen]]*0.2</f>
        <v>1.5</v>
      </c>
      <c r="J23" s="16">
        <f>SUM(Tabla16[[#This Row],[35%(Aporte Individual)]],Tabla16[[#This Row],[35%(Aporte Grupal)]],Tabla16[[#This Row],[10%(Proyecto)]],Tabla16[[#This Row],[20%(Examen)]])</f>
        <v>7.4734999999999996</v>
      </c>
      <c r="K23" s="11" t="s">
        <v>3</v>
      </c>
      <c r="L23" s="12" t="s">
        <v>2</v>
      </c>
      <c r="M23" s="13">
        <v>0</v>
      </c>
      <c r="N23" s="27">
        <v>0</v>
      </c>
    </row>
    <row r="24" spans="1:14" s="10" customFormat="1" ht="13.8" x14ac:dyDescent="0.3">
      <c r="A24" s="29" t="s">
        <v>32</v>
      </c>
      <c r="B24" s="14">
        <v>8.11</v>
      </c>
      <c r="C24" s="15">
        <f>(Tabla16[[#This Row],[Aporte Individual]]*0.35)</f>
        <v>2.8384999999999998</v>
      </c>
      <c r="D24" s="14">
        <v>8</v>
      </c>
      <c r="E24" s="15">
        <f>Tabla16[[#This Row],[Aporte Grupal]]*0.35</f>
        <v>2.8</v>
      </c>
      <c r="F24" s="14">
        <v>9</v>
      </c>
      <c r="G24" s="15">
        <f>Tabla16[[#This Row],[Proyecto]]*0.1</f>
        <v>0.9</v>
      </c>
      <c r="H24" s="14">
        <v>9</v>
      </c>
      <c r="I24" s="15">
        <f>Tabla16[[#This Row],[Examen]]*0.2</f>
        <v>1.8</v>
      </c>
      <c r="J24" s="16">
        <f>SUM(Tabla16[[#This Row],[35%(Aporte Individual)]],Tabla16[[#This Row],[35%(Aporte Grupal)]],Tabla16[[#This Row],[10%(Proyecto)]],Tabla16[[#This Row],[20%(Examen)]])</f>
        <v>8.3384999999999998</v>
      </c>
      <c r="K24" s="17" t="s">
        <v>3</v>
      </c>
      <c r="L24" s="18" t="s">
        <v>2</v>
      </c>
      <c r="M24" s="19">
        <v>1</v>
      </c>
      <c r="N24" s="28">
        <v>0</v>
      </c>
    </row>
    <row r="25" spans="1:14" s="10" customFormat="1" ht="13.8" x14ac:dyDescent="0.3">
      <c r="B25" s="20"/>
      <c r="C25" s="21"/>
      <c r="D25" s="20"/>
      <c r="E25" s="21"/>
      <c r="F25" s="20"/>
      <c r="G25" s="21"/>
      <c r="H25" s="20"/>
      <c r="I25" s="21"/>
      <c r="J25" s="22"/>
      <c r="K25" s="23"/>
      <c r="L25" s="24"/>
      <c r="M25" s="25"/>
      <c r="N25" s="25"/>
    </row>
    <row r="26" spans="1:14" s="10" customFormat="1" ht="13.8" x14ac:dyDescent="0.3">
      <c r="B26" s="20"/>
      <c r="C26" s="21"/>
      <c r="D26" s="20"/>
      <c r="E26" s="21"/>
      <c r="F26" s="20"/>
      <c r="G26" s="21"/>
      <c r="H26" s="20"/>
      <c r="I26" s="21"/>
      <c r="J26" s="22"/>
      <c r="K26" s="23"/>
      <c r="L26" s="24"/>
      <c r="M26" s="25"/>
      <c r="N26" s="25"/>
    </row>
    <row r="27" spans="1:14" s="10" customFormat="1" ht="13.8" x14ac:dyDescent="0.3">
      <c r="B27" s="20"/>
      <c r="C27" s="21"/>
      <c r="D27" s="20"/>
      <c r="E27" s="21"/>
      <c r="F27" s="20"/>
      <c r="G27" s="21"/>
      <c r="H27" s="20"/>
      <c r="I27" s="21"/>
      <c r="J27" s="22"/>
      <c r="K27" s="23"/>
      <c r="L27" s="24"/>
      <c r="M27" s="25"/>
      <c r="N27" s="25"/>
    </row>
    <row r="28" spans="1:14" s="10" customFormat="1" ht="13.8" x14ac:dyDescent="0.3">
      <c r="B28" s="20"/>
      <c r="C28" s="21"/>
      <c r="D28" s="20"/>
      <c r="E28" s="21"/>
      <c r="F28" s="20"/>
      <c r="G28" s="21"/>
      <c r="H28" s="20"/>
      <c r="I28" s="21"/>
      <c r="J28" s="22"/>
      <c r="K28" s="23"/>
      <c r="L28" s="24"/>
      <c r="M28" s="25"/>
      <c r="N28" s="25"/>
    </row>
    <row r="29" spans="1:14" s="10" customFormat="1" ht="13.8" x14ac:dyDescent="0.3">
      <c r="B29" s="20"/>
      <c r="C29" s="21"/>
      <c r="D29" s="20"/>
      <c r="E29" s="21"/>
      <c r="F29" s="20"/>
      <c r="G29" s="21"/>
      <c r="H29" s="20"/>
      <c r="I29" s="21"/>
      <c r="J29" s="22"/>
      <c r="K29" s="23"/>
      <c r="L29" s="24"/>
      <c r="M29" s="25"/>
      <c r="N29" s="25"/>
    </row>
    <row r="30" spans="1:14" s="10" customFormat="1" ht="13.8" x14ac:dyDescent="0.3">
      <c r="B30" s="20"/>
      <c r="C30" s="21"/>
      <c r="D30" s="20"/>
      <c r="E30" s="21"/>
      <c r="F30" s="20"/>
      <c r="G30" s="21"/>
      <c r="H30" s="20"/>
      <c r="I30" s="21"/>
      <c r="J30" s="22"/>
      <c r="K30" s="23"/>
      <c r="L30" s="24"/>
      <c r="M30" s="25"/>
      <c r="N30" s="25"/>
    </row>
    <row r="31" spans="1:14" s="10" customFormat="1" ht="13.8" x14ac:dyDescent="0.3">
      <c r="B31" s="20"/>
      <c r="C31" s="21"/>
      <c r="D31" s="20"/>
      <c r="E31" s="21"/>
      <c r="F31" s="20"/>
      <c r="G31" s="21"/>
      <c r="H31" s="20"/>
      <c r="I31" s="21"/>
      <c r="J31" s="22"/>
      <c r="K31" s="23"/>
      <c r="L31" s="24"/>
      <c r="M31" s="25"/>
      <c r="N31" s="25"/>
    </row>
    <row r="32" spans="1:14" s="10" customFormat="1" ht="13.8" x14ac:dyDescent="0.3">
      <c r="B32" s="20"/>
      <c r="C32" s="21"/>
      <c r="D32" s="20"/>
      <c r="E32" s="21"/>
      <c r="F32" s="20"/>
      <c r="G32" s="21"/>
      <c r="H32" s="20"/>
      <c r="I32" s="21"/>
      <c r="J32" s="22"/>
      <c r="K32" s="23"/>
      <c r="L32" s="24"/>
      <c r="M32" s="25"/>
      <c r="N32" s="25"/>
    </row>
    <row r="33" spans="2:14" s="10" customFormat="1" ht="13.8" x14ac:dyDescent="0.3">
      <c r="B33" s="20"/>
      <c r="C33" s="21"/>
      <c r="D33" s="20"/>
      <c r="E33" s="21"/>
      <c r="F33" s="20"/>
      <c r="G33" s="21"/>
      <c r="H33" s="20"/>
      <c r="I33" s="21"/>
      <c r="J33" s="22"/>
      <c r="K33" s="23"/>
      <c r="L33" s="24"/>
      <c r="M33" s="25"/>
      <c r="N33" s="25"/>
    </row>
    <row r="34" spans="2:14" s="10" customFormat="1" ht="13.8" x14ac:dyDescent="0.3">
      <c r="B34" s="20"/>
      <c r="C34" s="21"/>
      <c r="D34" s="20"/>
      <c r="E34" s="21"/>
      <c r="F34" s="20"/>
      <c r="G34" s="21"/>
      <c r="H34" s="20"/>
      <c r="I34" s="21"/>
      <c r="J34" s="22"/>
      <c r="K34" s="23"/>
      <c r="L34" s="24"/>
      <c r="M34" s="25"/>
      <c r="N34" s="25"/>
    </row>
    <row r="35" spans="2:14" s="10" customFormat="1" ht="13.8" x14ac:dyDescent="0.3">
      <c r="B35" s="20"/>
      <c r="C35" s="21"/>
      <c r="D35" s="20"/>
      <c r="E35" s="21"/>
      <c r="F35" s="20"/>
      <c r="G35" s="21"/>
      <c r="H35" s="20"/>
      <c r="I35" s="21"/>
      <c r="J35" s="22"/>
      <c r="K35" s="23"/>
      <c r="L35" s="24"/>
      <c r="M35" s="25"/>
      <c r="N35" s="25"/>
    </row>
    <row r="36" spans="2:14" s="10" customFormat="1" ht="13.8" x14ac:dyDescent="0.3">
      <c r="B36" s="20"/>
      <c r="C36" s="21"/>
      <c r="D36" s="20"/>
      <c r="E36" s="21"/>
      <c r="F36" s="20"/>
      <c r="G36" s="21"/>
      <c r="H36" s="20"/>
      <c r="I36" s="21"/>
      <c r="J36" s="22"/>
      <c r="K36" s="23"/>
      <c r="L36" s="24"/>
      <c r="M36" s="25"/>
      <c r="N36" s="25"/>
    </row>
    <row r="37" spans="2:14" s="10" customFormat="1" ht="13.8" x14ac:dyDescent="0.3">
      <c r="B37" s="20"/>
      <c r="C37" s="21"/>
      <c r="D37" s="20"/>
      <c r="E37" s="21"/>
      <c r="F37" s="20"/>
      <c r="G37" s="21"/>
      <c r="H37" s="20"/>
      <c r="I37" s="21"/>
      <c r="J37" s="22"/>
      <c r="K37" s="23"/>
      <c r="L37" s="24"/>
      <c r="M37" s="25"/>
      <c r="N37" s="25"/>
    </row>
    <row r="38" spans="2:14" s="10" customFormat="1" ht="13.8" x14ac:dyDescent="0.3">
      <c r="B38" s="20"/>
      <c r="C38" s="21"/>
      <c r="D38" s="20"/>
      <c r="E38" s="21"/>
      <c r="F38" s="20"/>
      <c r="G38" s="21"/>
      <c r="H38" s="20"/>
      <c r="I38" s="21"/>
      <c r="J38" s="22"/>
      <c r="K38" s="23"/>
      <c r="L38" s="24"/>
      <c r="M38" s="25"/>
      <c r="N38" s="25"/>
    </row>
    <row r="39" spans="2:14" s="10" customFormat="1" ht="13.8" x14ac:dyDescent="0.3">
      <c r="B39" s="20"/>
      <c r="C39" s="21"/>
      <c r="D39" s="20"/>
      <c r="E39" s="21"/>
      <c r="F39" s="20"/>
      <c r="G39" s="21"/>
      <c r="H39" s="20"/>
      <c r="I39" s="21"/>
      <c r="J39" s="22"/>
      <c r="K39" s="23"/>
      <c r="L39" s="24"/>
      <c r="M39" s="25"/>
      <c r="N39" s="25"/>
    </row>
    <row r="40" spans="2:14" s="10" customFormat="1" ht="13.8" x14ac:dyDescent="0.3">
      <c r="B40" s="20"/>
      <c r="C40" s="21"/>
      <c r="D40" s="20"/>
      <c r="E40" s="21"/>
      <c r="F40" s="20"/>
      <c r="G40" s="21"/>
      <c r="H40" s="20"/>
      <c r="I40" s="21"/>
      <c r="J40" s="22"/>
      <c r="K40" s="23"/>
      <c r="L40" s="24"/>
      <c r="M40" s="25"/>
      <c r="N40" s="25"/>
    </row>
    <row r="41" spans="2:14" s="10" customFormat="1" ht="13.8" x14ac:dyDescent="0.3">
      <c r="B41" s="20"/>
      <c r="C41" s="21"/>
      <c r="D41" s="20"/>
      <c r="E41" s="21"/>
      <c r="F41" s="20"/>
      <c r="G41" s="21"/>
      <c r="H41" s="20"/>
      <c r="I41" s="21"/>
      <c r="J41" s="22"/>
      <c r="K41" s="23"/>
      <c r="L41" s="24"/>
      <c r="M41" s="25"/>
      <c r="N41" s="25"/>
    </row>
    <row r="42" spans="2:14" s="10" customFormat="1" ht="13.8" x14ac:dyDescent="0.3">
      <c r="B42" s="20"/>
      <c r="C42" s="21"/>
      <c r="D42" s="20"/>
      <c r="E42" s="21"/>
      <c r="F42" s="20"/>
      <c r="G42" s="21"/>
      <c r="H42" s="20"/>
      <c r="I42" s="21"/>
      <c r="J42" s="22"/>
      <c r="K42" s="23"/>
      <c r="L42" s="24"/>
      <c r="M42" s="25"/>
      <c r="N42" s="25"/>
    </row>
    <row r="43" spans="2:14" s="10" customFormat="1" ht="13.8" x14ac:dyDescent="0.3">
      <c r="B43" s="20"/>
      <c r="C43" s="21"/>
      <c r="D43" s="20"/>
      <c r="E43" s="21"/>
      <c r="F43" s="20"/>
      <c r="G43" s="21"/>
      <c r="H43" s="20"/>
      <c r="I43" s="21"/>
      <c r="J43" s="22"/>
      <c r="K43" s="23"/>
      <c r="L43" s="24"/>
      <c r="M43" s="25"/>
      <c r="N43" s="25"/>
    </row>
    <row r="44" spans="2:14" s="10" customFormat="1" ht="13.8" x14ac:dyDescent="0.3">
      <c r="B44" s="20"/>
      <c r="C44" s="21"/>
      <c r="D44" s="20"/>
      <c r="E44" s="21"/>
      <c r="F44" s="20"/>
      <c r="G44" s="21"/>
      <c r="H44" s="20"/>
      <c r="I44" s="21"/>
      <c r="J44" s="22"/>
      <c r="K44" s="23"/>
      <c r="L44" s="24"/>
      <c r="M44" s="25"/>
      <c r="N44" s="25"/>
    </row>
    <row r="45" spans="2:14" s="10" customFormat="1" ht="13.8" x14ac:dyDescent="0.3">
      <c r="B45" s="20"/>
      <c r="C45" s="21"/>
      <c r="D45" s="20"/>
      <c r="E45" s="21"/>
      <c r="F45" s="20"/>
      <c r="G45" s="21"/>
      <c r="H45" s="20"/>
      <c r="I45" s="21"/>
      <c r="J45" s="22"/>
      <c r="K45" s="23"/>
      <c r="L45" s="24"/>
      <c r="M45" s="25"/>
      <c r="N45" s="25"/>
    </row>
    <row r="46" spans="2:14" s="10" customFormat="1" ht="13.8" x14ac:dyDescent="0.3">
      <c r="B46" s="20"/>
      <c r="C46" s="21"/>
      <c r="D46" s="20"/>
      <c r="E46" s="21"/>
      <c r="F46" s="20"/>
      <c r="G46" s="21"/>
      <c r="H46" s="20"/>
      <c r="I46" s="21"/>
      <c r="J46" s="22"/>
      <c r="K46" s="23"/>
      <c r="L46" s="24"/>
      <c r="M46" s="25"/>
      <c r="N46" s="25"/>
    </row>
    <row r="47" spans="2:14" s="10" customFormat="1" ht="13.8" x14ac:dyDescent="0.3">
      <c r="B47" s="20"/>
      <c r="C47" s="21"/>
      <c r="D47" s="20"/>
      <c r="E47" s="21"/>
      <c r="F47" s="20"/>
      <c r="G47" s="21"/>
      <c r="H47" s="20"/>
      <c r="I47" s="21"/>
      <c r="J47" s="22"/>
      <c r="K47" s="23"/>
      <c r="L47" s="24"/>
      <c r="M47" s="25"/>
      <c r="N47" s="25"/>
    </row>
    <row r="48" spans="2:14" s="10" customFormat="1" ht="13.8" x14ac:dyDescent="0.3">
      <c r="B48" s="20"/>
      <c r="C48" s="21"/>
      <c r="D48" s="20"/>
      <c r="E48" s="21"/>
      <c r="F48" s="20"/>
      <c r="G48" s="21"/>
      <c r="H48" s="20"/>
      <c r="I48" s="21"/>
      <c r="J48" s="22"/>
      <c r="K48" s="23"/>
      <c r="L48" s="24"/>
      <c r="M48" s="25"/>
      <c r="N48" s="25"/>
    </row>
    <row r="49" spans="2:14" s="10" customFormat="1" ht="13.8" x14ac:dyDescent="0.3">
      <c r="B49" s="20"/>
      <c r="C49" s="21"/>
      <c r="D49" s="20"/>
      <c r="E49" s="21"/>
      <c r="F49" s="20"/>
      <c r="G49" s="21"/>
      <c r="H49" s="20"/>
      <c r="I49" s="21"/>
      <c r="J49" s="22"/>
      <c r="K49" s="23"/>
      <c r="L49" s="24"/>
      <c r="M49" s="25"/>
      <c r="N49" s="25"/>
    </row>
    <row r="50" spans="2:14" s="10" customFormat="1" ht="13.8" x14ac:dyDescent="0.3">
      <c r="B50" s="20"/>
      <c r="C50" s="21"/>
      <c r="D50" s="20"/>
      <c r="E50" s="21"/>
      <c r="F50" s="20"/>
      <c r="G50" s="21"/>
      <c r="H50" s="20"/>
      <c r="I50" s="21"/>
      <c r="J50" s="22"/>
      <c r="K50" s="23"/>
      <c r="L50" s="24"/>
      <c r="M50" s="25"/>
      <c r="N50" s="25"/>
    </row>
    <row r="51" spans="2:14" s="10" customFormat="1" ht="13.8" x14ac:dyDescent="0.3">
      <c r="B51" s="20"/>
      <c r="C51" s="21"/>
      <c r="D51" s="20"/>
      <c r="E51" s="21"/>
      <c r="F51" s="20"/>
      <c r="G51" s="21"/>
      <c r="H51" s="20"/>
      <c r="I51" s="21"/>
      <c r="J51" s="22"/>
      <c r="K51" s="23"/>
      <c r="L51" s="24"/>
      <c r="M51" s="25"/>
      <c r="N51" s="25"/>
    </row>
    <row r="52" spans="2:14" s="10" customFormat="1" ht="13.8" x14ac:dyDescent="0.3">
      <c r="B52" s="20"/>
      <c r="C52" s="21"/>
      <c r="D52" s="20"/>
      <c r="E52" s="21"/>
      <c r="F52" s="20"/>
      <c r="G52" s="21"/>
      <c r="H52" s="20"/>
      <c r="I52" s="21"/>
      <c r="J52" s="22"/>
      <c r="K52" s="23"/>
      <c r="L52" s="24"/>
      <c r="M52" s="25"/>
      <c r="N52" s="25"/>
    </row>
    <row r="53" spans="2:14" s="10" customFormat="1" ht="13.8" x14ac:dyDescent="0.3">
      <c r="B53" s="20"/>
      <c r="C53" s="21"/>
      <c r="D53" s="20"/>
      <c r="E53" s="21"/>
      <c r="F53" s="20"/>
      <c r="G53" s="21"/>
      <c r="H53" s="20"/>
      <c r="I53" s="21"/>
      <c r="J53" s="22"/>
      <c r="K53" s="23"/>
      <c r="L53" s="24"/>
      <c r="M53" s="25"/>
      <c r="N53" s="25"/>
    </row>
    <row r="54" spans="2:14" s="10" customFormat="1" ht="13.8" x14ac:dyDescent="0.3">
      <c r="B54" s="20"/>
      <c r="C54" s="21"/>
      <c r="D54" s="20"/>
      <c r="E54" s="21"/>
      <c r="F54" s="20"/>
      <c r="G54" s="21"/>
      <c r="H54" s="20"/>
      <c r="I54" s="21"/>
      <c r="J54" s="22"/>
      <c r="K54" s="23"/>
      <c r="L54" s="24"/>
      <c r="M54" s="25"/>
      <c r="N54" s="25"/>
    </row>
    <row r="55" spans="2:14" s="10" customFormat="1" ht="13.8" x14ac:dyDescent="0.3">
      <c r="B55" s="20"/>
      <c r="C55" s="21"/>
      <c r="D55" s="20"/>
      <c r="E55" s="21"/>
      <c r="F55" s="20"/>
      <c r="G55" s="21"/>
      <c r="H55" s="20"/>
      <c r="I55" s="21"/>
      <c r="J55" s="22"/>
      <c r="K55" s="23"/>
      <c r="L55" s="24"/>
      <c r="M55" s="25"/>
      <c r="N55" s="25"/>
    </row>
    <row r="56" spans="2:14" s="10" customFormat="1" ht="13.8" x14ac:dyDescent="0.3">
      <c r="B56" s="20"/>
      <c r="C56" s="21"/>
      <c r="D56" s="20"/>
      <c r="E56" s="21"/>
      <c r="F56" s="20"/>
      <c r="G56" s="21"/>
      <c r="H56" s="20"/>
      <c r="I56" s="21"/>
      <c r="J56" s="22"/>
      <c r="K56" s="23"/>
      <c r="L56" s="24"/>
      <c r="M56" s="25"/>
      <c r="N56" s="25"/>
    </row>
    <row r="57" spans="2:14" s="10" customFormat="1" ht="13.8" x14ac:dyDescent="0.3">
      <c r="B57" s="20"/>
      <c r="C57" s="21"/>
      <c r="D57" s="20"/>
      <c r="E57" s="21"/>
      <c r="F57" s="20"/>
      <c r="G57" s="21"/>
      <c r="H57" s="20"/>
      <c r="I57" s="21"/>
      <c r="J57" s="22"/>
      <c r="K57" s="23"/>
      <c r="L57" s="24"/>
      <c r="M57" s="25"/>
      <c r="N57" s="25"/>
    </row>
    <row r="58" spans="2:14" s="10" customFormat="1" ht="13.8" x14ac:dyDescent="0.3">
      <c r="B58" s="20"/>
      <c r="C58" s="21"/>
      <c r="D58" s="20"/>
      <c r="E58" s="21"/>
      <c r="F58" s="20"/>
      <c r="G58" s="21"/>
      <c r="H58" s="20"/>
      <c r="I58" s="21"/>
      <c r="J58" s="22"/>
      <c r="K58" s="23"/>
      <c r="L58" s="24"/>
      <c r="M58" s="25"/>
      <c r="N58" s="25"/>
    </row>
    <row r="59" spans="2:14" s="10" customFormat="1" ht="13.8" x14ac:dyDescent="0.3">
      <c r="B59" s="20"/>
      <c r="C59" s="21"/>
      <c r="D59" s="20"/>
      <c r="E59" s="21"/>
      <c r="F59" s="20"/>
      <c r="G59" s="21"/>
      <c r="H59" s="20"/>
      <c r="I59" s="21"/>
      <c r="J59" s="22"/>
      <c r="K59" s="23"/>
      <c r="L59" s="24"/>
      <c r="M59" s="25"/>
      <c r="N59" s="25"/>
    </row>
    <row r="60" spans="2:14" s="10" customFormat="1" ht="13.8" x14ac:dyDescent="0.3">
      <c r="B60" s="20"/>
      <c r="C60" s="21"/>
      <c r="D60" s="20"/>
      <c r="E60" s="21"/>
      <c r="F60" s="20"/>
      <c r="G60" s="21"/>
      <c r="H60" s="20"/>
      <c r="I60" s="21"/>
      <c r="J60" s="22"/>
      <c r="K60" s="23"/>
      <c r="L60" s="24"/>
      <c r="M60" s="25"/>
      <c r="N60" s="25"/>
    </row>
    <row r="61" spans="2:14" s="10" customFormat="1" ht="13.8" x14ac:dyDescent="0.3">
      <c r="B61" s="20"/>
      <c r="C61" s="21"/>
      <c r="D61" s="20"/>
      <c r="E61" s="21"/>
      <c r="F61" s="20"/>
      <c r="G61" s="21"/>
      <c r="H61" s="20"/>
      <c r="I61" s="21"/>
      <c r="J61" s="22"/>
      <c r="K61" s="23"/>
      <c r="L61" s="24"/>
      <c r="M61" s="25"/>
      <c r="N61" s="25"/>
    </row>
    <row r="62" spans="2:14" s="10" customFormat="1" ht="13.8" x14ac:dyDescent="0.3">
      <c r="B62" s="20"/>
      <c r="C62" s="21"/>
      <c r="D62" s="20"/>
      <c r="E62" s="21"/>
      <c r="F62" s="20"/>
      <c r="G62" s="21"/>
      <c r="H62" s="20"/>
      <c r="I62" s="21"/>
      <c r="J62" s="22"/>
      <c r="K62" s="23"/>
      <c r="L62" s="24"/>
      <c r="M62" s="25"/>
      <c r="N62" s="25"/>
    </row>
    <row r="63" spans="2:14" s="10" customFormat="1" ht="13.8" x14ac:dyDescent="0.3">
      <c r="B63" s="20"/>
      <c r="C63" s="21"/>
      <c r="D63" s="20"/>
      <c r="E63" s="21"/>
      <c r="F63" s="20"/>
      <c r="G63" s="21"/>
      <c r="H63" s="20"/>
      <c r="I63" s="21"/>
      <c r="J63" s="22"/>
      <c r="K63" s="23"/>
      <c r="L63" s="24"/>
      <c r="M63" s="25"/>
      <c r="N63" s="25"/>
    </row>
    <row r="64" spans="2:14" s="10" customFormat="1" ht="13.8" x14ac:dyDescent="0.3">
      <c r="B64" s="20"/>
      <c r="C64" s="21"/>
      <c r="D64" s="20"/>
      <c r="E64" s="21"/>
      <c r="F64" s="20"/>
      <c r="G64" s="21"/>
      <c r="H64" s="20"/>
      <c r="I64" s="21"/>
      <c r="J64" s="22"/>
      <c r="K64" s="23"/>
      <c r="L64" s="24"/>
      <c r="M64" s="25"/>
      <c r="N64" s="25"/>
    </row>
    <row r="65" spans="2:14" s="10" customFormat="1" ht="13.8" x14ac:dyDescent="0.3">
      <c r="B65" s="20"/>
      <c r="C65" s="21"/>
      <c r="D65" s="20"/>
      <c r="E65" s="21"/>
      <c r="F65" s="20"/>
      <c r="G65" s="21"/>
      <c r="H65" s="20"/>
      <c r="I65" s="21"/>
      <c r="J65" s="22"/>
      <c r="K65" s="23"/>
      <c r="L65" s="24"/>
      <c r="M65" s="25"/>
      <c r="N65" s="25"/>
    </row>
    <row r="66" spans="2:14" s="10" customFormat="1" ht="13.8" x14ac:dyDescent="0.3">
      <c r="B66" s="20"/>
      <c r="C66" s="21"/>
      <c r="D66" s="20"/>
      <c r="E66" s="21"/>
      <c r="F66" s="20"/>
      <c r="G66" s="21"/>
      <c r="H66" s="20"/>
      <c r="I66" s="21"/>
      <c r="J66" s="22"/>
      <c r="K66" s="23"/>
      <c r="L66" s="24"/>
      <c r="M66" s="25"/>
      <c r="N66" s="25"/>
    </row>
    <row r="67" spans="2:14" s="10" customFormat="1" ht="13.8" x14ac:dyDescent="0.3">
      <c r="B67" s="20"/>
      <c r="C67" s="21"/>
      <c r="D67" s="20"/>
      <c r="E67" s="21"/>
      <c r="F67" s="20"/>
      <c r="G67" s="21"/>
      <c r="H67" s="20"/>
      <c r="I67" s="21"/>
      <c r="J67" s="22"/>
      <c r="K67" s="23"/>
      <c r="L67" s="24"/>
      <c r="M67" s="25"/>
      <c r="N67" s="25"/>
    </row>
    <row r="68" spans="2:14" s="10" customFormat="1" ht="13.8" x14ac:dyDescent="0.3">
      <c r="B68" s="20"/>
      <c r="C68" s="21"/>
      <c r="D68" s="20"/>
      <c r="E68" s="21"/>
      <c r="F68" s="20"/>
      <c r="G68" s="21"/>
      <c r="H68" s="20"/>
      <c r="I68" s="21"/>
      <c r="J68" s="22"/>
      <c r="K68" s="23"/>
      <c r="L68" s="24"/>
      <c r="M68" s="25"/>
      <c r="N68" s="25"/>
    </row>
    <row r="69" spans="2:14" s="10" customFormat="1" ht="13.8" x14ac:dyDescent="0.3">
      <c r="B69" s="20"/>
      <c r="C69" s="21"/>
      <c r="D69" s="20"/>
      <c r="E69" s="21"/>
      <c r="F69" s="20"/>
      <c r="G69" s="21"/>
      <c r="H69" s="20"/>
      <c r="I69" s="21"/>
      <c r="J69" s="22"/>
      <c r="K69" s="23"/>
      <c r="L69" s="24"/>
      <c r="M69" s="25"/>
      <c r="N69" s="25"/>
    </row>
    <row r="70" spans="2:14" s="10" customFormat="1" ht="13.8" x14ac:dyDescent="0.3">
      <c r="B70" s="20"/>
      <c r="C70" s="21"/>
      <c r="D70" s="20"/>
      <c r="E70" s="21"/>
      <c r="F70" s="20"/>
      <c r="G70" s="21"/>
      <c r="H70" s="20"/>
      <c r="I70" s="21"/>
      <c r="J70" s="22"/>
      <c r="K70" s="23"/>
      <c r="L70" s="24"/>
      <c r="M70" s="25"/>
      <c r="N70" s="25"/>
    </row>
    <row r="71" spans="2:14" s="10" customFormat="1" ht="13.8" x14ac:dyDescent="0.3">
      <c r="B71" s="20"/>
      <c r="C71" s="21"/>
      <c r="D71" s="20"/>
      <c r="E71" s="21"/>
      <c r="F71" s="20"/>
      <c r="G71" s="21"/>
      <c r="H71" s="20"/>
      <c r="I71" s="21"/>
      <c r="J71" s="22"/>
      <c r="K71" s="23"/>
      <c r="L71" s="24"/>
      <c r="M71" s="25"/>
      <c r="N71" s="25"/>
    </row>
    <row r="72" spans="2:14" s="10" customFormat="1" ht="13.8" x14ac:dyDescent="0.3">
      <c r="B72" s="20"/>
      <c r="C72" s="21"/>
      <c r="D72" s="20"/>
      <c r="E72" s="21"/>
      <c r="F72" s="20"/>
      <c r="G72" s="21"/>
      <c r="H72" s="20"/>
      <c r="I72" s="21"/>
      <c r="J72" s="22"/>
      <c r="K72" s="23"/>
      <c r="L72" s="24"/>
      <c r="M72" s="25"/>
      <c r="N72" s="25"/>
    </row>
    <row r="73" spans="2:14" s="10" customFormat="1" ht="13.8" x14ac:dyDescent="0.3">
      <c r="B73" s="20"/>
      <c r="C73" s="21"/>
      <c r="D73" s="20"/>
      <c r="E73" s="21"/>
      <c r="F73" s="20"/>
      <c r="G73" s="21"/>
      <c r="H73" s="20"/>
      <c r="I73" s="21"/>
      <c r="J73" s="22"/>
      <c r="K73" s="23"/>
      <c r="L73" s="24"/>
      <c r="M73" s="25"/>
      <c r="N73" s="25"/>
    </row>
    <row r="74" spans="2:14" s="10" customFormat="1" ht="13.8" x14ac:dyDescent="0.3">
      <c r="B74" s="20"/>
      <c r="C74" s="21"/>
      <c r="D74" s="20"/>
      <c r="E74" s="21"/>
      <c r="F74" s="20"/>
      <c r="G74" s="21"/>
      <c r="H74" s="20"/>
      <c r="I74" s="21"/>
      <c r="J74" s="22"/>
      <c r="K74" s="23"/>
      <c r="L74" s="24"/>
      <c r="M74" s="25"/>
      <c r="N74" s="25"/>
    </row>
    <row r="75" spans="2:14" s="10" customFormat="1" ht="13.8" x14ac:dyDescent="0.3">
      <c r="B75" s="20"/>
      <c r="C75" s="21"/>
      <c r="D75" s="20"/>
      <c r="E75" s="21"/>
      <c r="F75" s="20"/>
      <c r="G75" s="21"/>
      <c r="H75" s="20"/>
      <c r="I75" s="21"/>
      <c r="J75" s="22"/>
      <c r="K75" s="23"/>
      <c r="L75" s="24"/>
      <c r="M75" s="25"/>
      <c r="N75" s="25"/>
    </row>
    <row r="76" spans="2:14" s="10" customFormat="1" ht="13.8" x14ac:dyDescent="0.3">
      <c r="B76" s="20"/>
      <c r="C76" s="21"/>
      <c r="D76" s="20"/>
      <c r="E76" s="21"/>
      <c r="F76" s="20"/>
      <c r="G76" s="21"/>
      <c r="H76" s="20"/>
      <c r="I76" s="21"/>
      <c r="J76" s="22"/>
      <c r="K76" s="23"/>
      <c r="L76" s="24"/>
      <c r="M76" s="25"/>
      <c r="N76" s="25"/>
    </row>
    <row r="77" spans="2:14" s="10" customFormat="1" ht="13.8" x14ac:dyDescent="0.3">
      <c r="B77" s="20"/>
      <c r="C77" s="21"/>
      <c r="D77" s="20"/>
      <c r="E77" s="21"/>
      <c r="F77" s="20"/>
      <c r="G77" s="21"/>
      <c r="H77" s="20"/>
      <c r="I77" s="21"/>
      <c r="J77" s="22"/>
      <c r="K77" s="23"/>
      <c r="L77" s="24"/>
      <c r="M77" s="25"/>
      <c r="N77" s="25"/>
    </row>
    <row r="78" spans="2:14" s="10" customFormat="1" ht="13.8" x14ac:dyDescent="0.3">
      <c r="B78" s="20"/>
      <c r="C78" s="21"/>
      <c r="D78" s="20"/>
      <c r="E78" s="21"/>
      <c r="F78" s="20"/>
      <c r="G78" s="21"/>
      <c r="H78" s="20"/>
      <c r="I78" s="21"/>
      <c r="J78" s="22"/>
      <c r="K78" s="23"/>
      <c r="L78" s="24"/>
      <c r="M78" s="25"/>
      <c r="N78" s="25"/>
    </row>
    <row r="79" spans="2:14" s="10" customFormat="1" ht="13.8" x14ac:dyDescent="0.3">
      <c r="B79" s="20"/>
      <c r="C79" s="21"/>
      <c r="D79" s="20"/>
      <c r="E79" s="21"/>
      <c r="F79" s="20"/>
      <c r="G79" s="21"/>
      <c r="H79" s="20"/>
      <c r="I79" s="21"/>
      <c r="J79" s="22"/>
      <c r="K79" s="23"/>
      <c r="L79" s="24"/>
      <c r="M79" s="25"/>
      <c r="N79" s="25"/>
    </row>
    <row r="80" spans="2:14" s="10" customFormat="1" ht="13.8" x14ac:dyDescent="0.3">
      <c r="B80" s="20"/>
      <c r="C80" s="21"/>
      <c r="D80" s="20"/>
      <c r="E80" s="21"/>
      <c r="F80" s="20"/>
      <c r="G80" s="21"/>
      <c r="H80" s="20"/>
      <c r="I80" s="21"/>
      <c r="J80" s="22"/>
      <c r="K80" s="23"/>
      <c r="L80" s="24"/>
      <c r="M80" s="25"/>
      <c r="N80" s="25"/>
    </row>
    <row r="81" spans="2:14" s="10" customFormat="1" ht="13.8" x14ac:dyDescent="0.3">
      <c r="B81" s="20"/>
      <c r="C81" s="21"/>
      <c r="D81" s="20"/>
      <c r="E81" s="21"/>
      <c r="F81" s="20"/>
      <c r="G81" s="21"/>
      <c r="H81" s="20"/>
      <c r="I81" s="21"/>
      <c r="J81" s="22"/>
      <c r="K81" s="23"/>
      <c r="L81" s="24"/>
      <c r="M81" s="25"/>
      <c r="N81" s="25"/>
    </row>
    <row r="82" spans="2:14" s="10" customFormat="1" ht="13.8" x14ac:dyDescent="0.3">
      <c r="B82" s="20"/>
      <c r="C82" s="21"/>
      <c r="D82" s="20"/>
      <c r="E82" s="21"/>
      <c r="F82" s="20"/>
      <c r="G82" s="21"/>
      <c r="H82" s="20"/>
      <c r="I82" s="21"/>
      <c r="J82" s="22"/>
      <c r="K82" s="23"/>
      <c r="L82" s="24"/>
      <c r="M82" s="25"/>
      <c r="N82" s="25"/>
    </row>
    <row r="83" spans="2:14" s="10" customFormat="1" ht="13.8" x14ac:dyDescent="0.3">
      <c r="B83" s="20"/>
      <c r="C83" s="21"/>
      <c r="D83" s="20"/>
      <c r="E83" s="21"/>
      <c r="F83" s="20"/>
      <c r="G83" s="21"/>
      <c r="H83" s="20"/>
      <c r="I83" s="21"/>
      <c r="J83" s="22"/>
      <c r="K83" s="23"/>
      <c r="L83" s="24"/>
      <c r="M83" s="25"/>
      <c r="N83" s="25"/>
    </row>
    <row r="84" spans="2:14" s="10" customFormat="1" ht="13.8" x14ac:dyDescent="0.3">
      <c r="B84" s="20"/>
      <c r="C84" s="21"/>
      <c r="D84" s="20"/>
      <c r="E84" s="21"/>
      <c r="F84" s="20"/>
      <c r="G84" s="21"/>
      <c r="H84" s="20"/>
      <c r="I84" s="21"/>
      <c r="J84" s="22"/>
      <c r="K84" s="23"/>
      <c r="L84" s="24"/>
      <c r="M84" s="25"/>
      <c r="N84" s="25"/>
    </row>
    <row r="85" spans="2:14" s="10" customFormat="1" ht="13.8" x14ac:dyDescent="0.3">
      <c r="B85" s="20"/>
      <c r="C85" s="21"/>
      <c r="D85" s="20"/>
      <c r="E85" s="21"/>
      <c r="F85" s="20"/>
      <c r="G85" s="21"/>
      <c r="H85" s="20"/>
      <c r="I85" s="21"/>
      <c r="J85" s="22"/>
      <c r="K85" s="23"/>
      <c r="L85" s="24"/>
      <c r="M85" s="25"/>
      <c r="N85" s="25"/>
    </row>
    <row r="86" spans="2:14" s="10" customFormat="1" ht="13.8" x14ac:dyDescent="0.3">
      <c r="B86" s="20"/>
      <c r="C86" s="21"/>
      <c r="D86" s="20"/>
      <c r="E86" s="21"/>
      <c r="F86" s="20"/>
      <c r="G86" s="21"/>
      <c r="H86" s="20"/>
      <c r="I86" s="21"/>
      <c r="J86" s="22"/>
      <c r="K86" s="23"/>
      <c r="L86" s="24"/>
      <c r="M86" s="25"/>
      <c r="N86" s="25"/>
    </row>
    <row r="87" spans="2:14" s="10" customFormat="1" ht="13.8" x14ac:dyDescent="0.3">
      <c r="B87" s="20"/>
      <c r="C87" s="21"/>
      <c r="D87" s="20"/>
      <c r="E87" s="21"/>
      <c r="F87" s="20"/>
      <c r="G87" s="21"/>
      <c r="H87" s="20"/>
      <c r="I87" s="21"/>
      <c r="J87" s="22"/>
      <c r="K87" s="23"/>
      <c r="L87" s="24"/>
      <c r="M87" s="25"/>
      <c r="N87" s="25"/>
    </row>
    <row r="88" spans="2:14" s="10" customFormat="1" ht="13.8" x14ac:dyDescent="0.3">
      <c r="B88" s="20"/>
      <c r="C88" s="21"/>
      <c r="D88" s="20"/>
      <c r="E88" s="21"/>
      <c r="F88" s="20"/>
      <c r="G88" s="21"/>
      <c r="H88" s="20"/>
      <c r="I88" s="21"/>
      <c r="J88" s="22"/>
      <c r="K88" s="23"/>
      <c r="L88" s="24"/>
      <c r="M88" s="25"/>
      <c r="N88" s="25"/>
    </row>
    <row r="89" spans="2:14" s="10" customFormat="1" ht="13.8" x14ac:dyDescent="0.3">
      <c r="B89" s="20"/>
      <c r="C89" s="21"/>
      <c r="D89" s="20"/>
      <c r="E89" s="21"/>
      <c r="F89" s="20"/>
      <c r="G89" s="21"/>
      <c r="H89" s="20"/>
      <c r="I89" s="21"/>
      <c r="J89" s="22"/>
      <c r="K89" s="23"/>
      <c r="L89" s="24"/>
      <c r="M89" s="25"/>
      <c r="N89" s="25"/>
    </row>
    <row r="90" spans="2:14" s="10" customFormat="1" ht="13.8" x14ac:dyDescent="0.3">
      <c r="B90" s="20"/>
      <c r="C90" s="21"/>
      <c r="D90" s="20"/>
      <c r="E90" s="21"/>
      <c r="F90" s="20"/>
      <c r="G90" s="21"/>
      <c r="H90" s="20"/>
      <c r="I90" s="21"/>
      <c r="J90" s="22"/>
      <c r="K90" s="23"/>
      <c r="L90" s="24"/>
      <c r="M90" s="25"/>
      <c r="N90" s="25"/>
    </row>
    <row r="91" spans="2:14" s="10" customFormat="1" ht="13.8" x14ac:dyDescent="0.3">
      <c r="B91" s="20"/>
      <c r="C91" s="21"/>
      <c r="D91" s="20"/>
      <c r="E91" s="21"/>
      <c r="F91" s="20"/>
      <c r="G91" s="21"/>
      <c r="H91" s="20"/>
      <c r="I91" s="21"/>
      <c r="J91" s="22"/>
      <c r="K91" s="23"/>
      <c r="L91" s="24"/>
      <c r="M91" s="25"/>
      <c r="N91" s="25"/>
    </row>
    <row r="92" spans="2:14" s="10" customFormat="1" ht="13.8" x14ac:dyDescent="0.3">
      <c r="B92" s="20"/>
      <c r="C92" s="21"/>
      <c r="D92" s="20"/>
      <c r="E92" s="21"/>
      <c r="F92" s="20"/>
      <c r="G92" s="21"/>
      <c r="H92" s="20"/>
      <c r="I92" s="21"/>
      <c r="J92" s="22"/>
      <c r="K92" s="23"/>
      <c r="L92" s="24"/>
      <c r="M92" s="25"/>
      <c r="N92" s="25"/>
    </row>
    <row r="93" spans="2:14" s="10" customFormat="1" ht="13.8" x14ac:dyDescent="0.3">
      <c r="B93" s="20"/>
      <c r="C93" s="21"/>
      <c r="D93" s="20"/>
      <c r="E93" s="21"/>
      <c r="F93" s="20"/>
      <c r="G93" s="21"/>
      <c r="H93" s="20"/>
      <c r="I93" s="21"/>
      <c r="J93" s="22"/>
      <c r="K93" s="23"/>
      <c r="L93" s="24"/>
      <c r="M93" s="25"/>
      <c r="N93" s="25"/>
    </row>
    <row r="94" spans="2:14" s="10" customFormat="1" ht="13.8" x14ac:dyDescent="0.3">
      <c r="B94" s="20"/>
      <c r="C94" s="21"/>
      <c r="D94" s="20"/>
      <c r="E94" s="21"/>
      <c r="F94" s="20"/>
      <c r="G94" s="21"/>
      <c r="H94" s="20"/>
      <c r="I94" s="21"/>
      <c r="J94" s="22"/>
      <c r="K94" s="23"/>
      <c r="L94" s="24"/>
      <c r="M94" s="25"/>
      <c r="N94" s="25"/>
    </row>
    <row r="95" spans="2:14" s="10" customFormat="1" ht="13.8" x14ac:dyDescent="0.3">
      <c r="B95" s="20"/>
      <c r="C95" s="21"/>
      <c r="D95" s="20"/>
      <c r="E95" s="21"/>
      <c r="F95" s="20"/>
      <c r="G95" s="21"/>
      <c r="H95" s="20"/>
      <c r="I95" s="21"/>
      <c r="J95" s="22"/>
      <c r="K95" s="23"/>
      <c r="L95" s="24"/>
      <c r="M95" s="25"/>
      <c r="N95" s="25"/>
    </row>
    <row r="96" spans="2:14" s="10" customFormat="1" ht="13.8" x14ac:dyDescent="0.3">
      <c r="B96" s="20"/>
      <c r="C96" s="21"/>
      <c r="D96" s="20"/>
      <c r="E96" s="21"/>
      <c r="F96" s="20"/>
      <c r="G96" s="21"/>
      <c r="H96" s="20"/>
      <c r="I96" s="21"/>
      <c r="J96" s="22"/>
      <c r="K96" s="23"/>
      <c r="L96" s="24"/>
      <c r="M96" s="25"/>
      <c r="N96" s="25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TRIMESTRE1</vt:lpstr>
      <vt:lpstr>TRIMESTRE2</vt:lpstr>
      <vt:lpstr>TRIMESTRE3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Janeth Torres</dc:creator>
  <dc:description/>
  <cp:lastModifiedBy>RENNY STEVEN POMA MEDINA</cp:lastModifiedBy>
  <cp:revision>1</cp:revision>
  <dcterms:created xsi:type="dcterms:W3CDTF">2025-08-05T20:39:18Z</dcterms:created>
  <dcterms:modified xsi:type="dcterms:W3CDTF">2025-09-27T03:27:15Z</dcterms:modified>
  <dc:language>es-EC</dc:language>
</cp:coreProperties>
</file>